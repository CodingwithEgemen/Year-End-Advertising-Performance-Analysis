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 Ads Raw Data" sheetId="1" r:id="rId5"/>
    <sheet state="visible" name="Google Ads Solution" sheetId="2" r:id="rId6"/>
    <sheet state="visible" name="Google Ads Monthly data" sheetId="3" r:id="rId7"/>
    <sheet state="visible" name="Pivot Tables" sheetId="4" r:id="rId8"/>
    <sheet state="visible" name="Summary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<sst xmlns="http://schemas.openxmlformats.org/spreadsheetml/2006/main" count="88" uniqueCount="73">
  <si>
    <t>date</t>
  </si>
  <si>
    <t>impressions</t>
  </si>
  <si>
    <t>clicks</t>
  </si>
  <si>
    <t>spend</t>
  </si>
  <si>
    <t>conversions</t>
  </si>
  <si>
    <t>revenue</t>
  </si>
  <si>
    <t>Date</t>
  </si>
  <si>
    <t>Month</t>
  </si>
  <si>
    <t>Impressions</t>
  </si>
  <si>
    <t>CTR</t>
  </si>
  <si>
    <t>Clicks</t>
  </si>
  <si>
    <t>CPC</t>
  </si>
  <si>
    <t>CPM</t>
  </si>
  <si>
    <t>Spend</t>
  </si>
  <si>
    <t>Conversion rate</t>
  </si>
  <si>
    <t>Conversions</t>
  </si>
  <si>
    <t>Avg. conversion value</t>
  </si>
  <si>
    <t>Revenue</t>
  </si>
  <si>
    <t>ROAS</t>
  </si>
  <si>
    <t xml:space="preserve"> </t>
  </si>
  <si>
    <t>Avg. conversion amount</t>
  </si>
  <si>
    <t>SUM of Spend</t>
  </si>
  <si>
    <t>SUM of Revenue</t>
  </si>
  <si>
    <t>SUM of Clicks</t>
  </si>
  <si>
    <t>SUM of Impressions</t>
  </si>
  <si>
    <t>SUM of Conversions</t>
  </si>
  <si>
    <t>Ay bazında genel performans</t>
  </si>
  <si>
    <t>Overall performance on a monthly basis</t>
  </si>
  <si>
    <t>Grand Total</t>
  </si>
  <si>
    <t>En iyi ay</t>
  </si>
  <si>
    <t>Best month</t>
  </si>
  <si>
    <t>Summary / Özet</t>
  </si>
  <si>
    <t>Google Ads</t>
  </si>
  <si>
    <t>How much did we spend on Google Ads in total this year? / Bu yıl Google Ads'e toplam ne kadar harcadık?</t>
  </si>
  <si>
    <t>How many clicks did we get in total? / Toplam kaç tıklama elde ettik?</t>
  </si>
  <si>
    <t>How many impressions did we get in total? / Toplam kaç gösterim elde ettik?</t>
  </si>
  <si>
    <t>What is Average Cost Per Click (CPC)? / Ortalama Tıklama Başına Maliyet (CPC) nedir?</t>
  </si>
  <si>
    <t>What is average CPM? / Ortalama CPM nedir?</t>
  </si>
  <si>
    <t>How many conversions have we achieved this year? / Bu yıl kaç dönüşüm elde ettik?</t>
  </si>
  <si>
    <t>What was the average cost per conversion? / Ortalama dönüşüm başına maliyet neydi?</t>
  </si>
  <si>
    <t>How much revenue did Google Ads generate this year? / Bu yıl Google Ads tarafından elde edilen gelir ne kadardı?</t>
  </si>
  <si>
    <t>What is ROAS this year? / Bu yılki ROAS nedir?</t>
  </si>
  <si>
    <t>In which month did we spend most of our budget? / Bütçemizin çoğunu hangi ayda harcadık?</t>
  </si>
  <si>
    <t>December / Aralık</t>
  </si>
  <si>
    <t>In which month did we achieve the highest conversion rate? / En çok dönüşümü hangi ayda elde ettik?</t>
  </si>
  <si>
    <t>In which month did we generate the most revenue? / En çok geliri hangi ayda elde ettik?</t>
  </si>
  <si>
    <t>What were CPC and CPM for that month? / O ay için CPC ve CPM neydi?</t>
  </si>
  <si>
    <t>$1.48 &amp; $30.22</t>
  </si>
  <si>
    <t>What was the average conversion rate for that month? / O ay için ortalama dönüşüm miktarı neydi?</t>
  </si>
  <si>
    <t>What happened in December? / What happened in December?</t>
  </si>
  <si>
    <t>Aralık genellikle e-ticaret işletmeleri için iyi bir aydır çünkü Noel ve tatiller vardır.</t>
  </si>
  <si>
    <t>December is generally a good month for e-commerce businesses because of Christmas and the holidays.</t>
  </si>
  <si>
    <t>Soru (TR)</t>
  </si>
  <si>
    <t>Question (EN)</t>
  </si>
  <si>
    <t>Hesaplama / Formula</t>
  </si>
  <si>
    <t>Bu yıl Google Ads’e toplam ne kadar harcadık?</t>
  </si>
  <si>
    <t>Total Google Ads Spend (This Year)</t>
  </si>
  <si>
    <t>Toplam kaç tıklama elde ettik?</t>
  </si>
  <si>
    <t>Total Clicks</t>
  </si>
  <si>
    <t>Toplam kaç gösterim elde ettik?</t>
  </si>
  <si>
    <t>Total Impressions</t>
  </si>
  <si>
    <t>Ortalama Tıklama Başına Maliyet (CPC) nedir?</t>
  </si>
  <si>
    <t>Average Cost Per Click (CPC)</t>
  </si>
  <si>
    <t>Ortalama CPM nedir?</t>
  </si>
  <si>
    <t>Average Cost Per Mille (CPM)</t>
  </si>
  <si>
    <t>Bu yıl kaç dönüşüm elde ettik?</t>
  </si>
  <si>
    <t>Total Conversions</t>
  </si>
  <si>
    <t>Ortalama dönüşüm başına maliyet nedir? (CPA)</t>
  </si>
  <si>
    <t>Average Cost Per Conversion (CPA)</t>
  </si>
  <si>
    <t>Bu yıl Google Ads kaynaklı gelir ne kadar?</t>
  </si>
  <si>
    <t>Total Revenue from Google Ads</t>
  </si>
  <si>
    <t>Bu yılki ROAS nedir?</t>
  </si>
  <si>
    <t>Return on Ad Spend (ROAS)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</si>
</sst>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-yyyy"/>
    <numFmt numFmtId="165" formatCode="&quot;$&quot;#,##0.00"/>
    <numFmt numFmtId="166" formatCode="[$$]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10" xfId="0" applyAlignment="1" applyFont="1" applyNumberFormat="1">
      <alignment vertical="bottom"/>
    </xf>
    <xf borderId="0" fillId="2" fontId="2" numFmtId="165" xfId="0" applyAlignment="1" applyFont="1" applyNumberFormat="1">
      <alignment vertical="bottom"/>
    </xf>
    <xf borderId="0" fillId="2" fontId="2" numFmtId="4" xfId="0" applyAlignment="1" applyFont="1" applyNumberFormat="1">
      <alignment vertical="bottom"/>
    </xf>
    <xf borderId="0" fillId="3" fontId="3" numFmtId="0" xfId="0" applyAlignment="1" applyFill="1" applyFont="1">
      <alignment vertical="bottom"/>
    </xf>
    <xf borderId="0" fillId="0" fontId="1" numFmtId="0" xfId="0" applyFont="1"/>
    <xf borderId="0" fillId="0" fontId="1" numFmtId="10" xfId="0" applyFont="1" applyNumberFormat="1"/>
    <xf borderId="0" fillId="0" fontId="1" numFmtId="165" xfId="0" applyFont="1" applyNumberFormat="1"/>
    <xf borderId="0" fillId="0" fontId="1" numFmtId="4" xfId="0" applyFont="1" applyNumberFormat="1"/>
    <xf borderId="0" fillId="2" fontId="2" numFmtId="166" xfId="0" applyAlignment="1" applyFont="1" applyNumberFormat="1">
      <alignment vertical="bottom"/>
    </xf>
    <xf borderId="0" fillId="2" fontId="2" numFmtId="166" xfId="0" applyAlignment="1" applyFont="1" applyNumberFormat="1">
      <alignment vertical="bottom"/>
    </xf>
    <xf borderId="0" fillId="0" fontId="1" numFmtId="166" xfId="0" applyFont="1" applyNumberFormat="1"/>
    <xf borderId="0" fillId="0" fontId="1" numFmtId="166" xfId="0" applyFont="1" applyNumberFormat="1"/>
    <xf borderId="1" fillId="0" fontId="1" numFmtId="0" xfId="0" applyBorder="1" applyFont="1"/>
    <xf borderId="1" fillId="0" fontId="1" numFmtId="165" xfId="0" applyBorder="1" applyFont="1" applyNumberFormat="1"/>
    <xf borderId="1" fillId="0" fontId="1" numFmtId="3" xfId="0" applyBorder="1" applyFont="1" applyNumberFormat="1"/>
    <xf borderId="2" fillId="4" fontId="1" numFmtId="0" xfId="0" applyAlignment="1" applyBorder="1" applyFill="1" applyFont="1">
      <alignment readingOrder="0"/>
    </xf>
    <xf borderId="3" fillId="0" fontId="4" numFmtId="0" xfId="0" applyBorder="1" applyFont="1"/>
    <xf borderId="4" fillId="0" fontId="4" numFmtId="0" xfId="0" applyBorder="1" applyFont="1"/>
    <xf borderId="1" fillId="5" fontId="1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/>
    </xf>
    <xf borderId="1" fillId="6" fontId="2" numFmtId="0" xfId="0" applyAlignment="1" applyBorder="1" applyFill="1" applyFont="1">
      <alignment readingOrder="0" shrinkToFit="0" vertical="bottom" wrapText="1"/>
    </xf>
    <xf borderId="1" fillId="6" fontId="2" numFmtId="165" xfId="0" applyAlignment="1" applyBorder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0" fillId="0" fontId="5" numFmtId="0" xfId="0" applyFont="1"/>
    <xf borderId="1" fillId="5" fontId="3" numFmtId="0" xfId="0" applyAlignment="1" applyBorder="1" applyFont="1">
      <alignment readingOrder="0" shrinkToFit="0" vertical="bottom" wrapText="1"/>
    </xf>
    <xf borderId="1" fillId="0" fontId="3" numFmtId="165" xfId="0" applyAlignment="1" applyBorder="1" applyFont="1" applyNumberFormat="1">
      <alignment horizontal="right" shrinkToFit="0" vertical="bottom" wrapText="1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horizontal="right" shrinkToFit="0" vertical="bottom" wrapText="1"/>
    </xf>
    <xf borderId="1" fillId="0" fontId="3" numFmtId="4" xfId="0" applyAlignment="1" applyBorder="1" applyFont="1" applyNumberFormat="1">
      <alignment horizontal="right" shrinkToFit="0" vertical="bottom" wrapText="1"/>
    </xf>
    <xf borderId="1" fillId="5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right" readingOrder="0" shrinkToFit="0" vertical="bottom" wrapText="1"/>
    </xf>
    <xf borderId="1" fillId="0" fontId="3" numFmtId="165" xfId="0" applyAlignment="1" applyBorder="1" applyFont="1" applyNumberFormat="1">
      <alignment horizontal="right" readingOrder="0" shrinkToFit="0" vertical="bottom" wrapText="1"/>
    </xf>
    <xf borderId="0" fillId="0" fontId="3" numFmtId="0" xfId="0" applyAlignment="1" applyFont="1">
      <alignment shrinkToFit="0" vertical="bottom" wrapText="1"/>
    </xf>
    <xf borderId="1" fillId="6" fontId="5" numFmtId="0" xfId="0" applyAlignment="1" applyBorder="1" applyFont="1">
      <alignment horizontal="center" readingOrder="0" shrinkToFit="0" wrapText="1"/>
    </xf>
    <xf borderId="1" fillId="6" fontId="5" numFmtId="0" xfId="0" applyAlignment="1" applyBorder="1" applyFont="1">
      <alignment horizontal="center" readingOrder="0"/>
    </xf>
    <xf borderId="1" fillId="5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right" readingOrder="0" shrinkToFit="0" wrapText="1"/>
    </xf>
    <xf borderId="1" fillId="0" fontId="1" numFmtId="166" xfId="0" applyAlignment="1" applyBorder="1" applyFont="1" applyNumberFormat="1">
      <alignment horizontal="right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219075</xdr:colOff>
      <xdr:row>4</xdr:row>
      <xdr:rowOff>171450</xdr:rowOff>
    </xdr:from>
    <xdr:ext cx="1133475" cy="809625"/>
    <xdr:sp>
      <xdr:nvSpPr>
        <xdr:cNvPr id="3" name="Shape 3"/>
        <xdr:cNvSpPr/>
      </xdr:nvSpPr>
      <xdr:spPr>
        <a:xfrm>
          <a:off x="2528575" y="1797825"/>
          <a:ext cx="903300" cy="649800"/>
        </a:xfrm>
        <a:prstGeom prst="rightArrow">
          <a:avLst>
            <a:gd fmla="val 50000" name="adj1"/>
            <a:gd fmla="val 50000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123825</xdr:colOff>
      <xdr:row>20</xdr:row>
      <xdr:rowOff>190500</xdr:rowOff>
    </xdr:from>
    <xdr:ext cx="1209675" cy="809625"/>
    <xdr:sp>
      <xdr:nvSpPr>
        <xdr:cNvPr id="4" name="Shape 4"/>
        <xdr:cNvSpPr/>
      </xdr:nvSpPr>
      <xdr:spPr>
        <a:xfrm>
          <a:off x="2142825" y="1950075"/>
          <a:ext cx="1065900" cy="680100"/>
        </a:xfrm>
        <a:prstGeom prst="rightArrow">
          <a:avLst>
            <a:gd fmla="val 50000" name="adj1"/>
            <a:gd fmla="val 50000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366" sheet="Google Ads Solution"/>
  </cacheSource>
  <cacheFields>
    <cacheField name="Date" numFmtId="164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4-29T00:00:00Z"/>
        <d v="2023-04-30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29T00:00:00Z"/>
        <d v="2023-05-30T00:00:00Z"/>
        <d v="2023-05-31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6-29T00:00:00Z"/>
        <d v="2023-06-30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7-29T00:00:00Z"/>
        <d v="2023-07-30T00:00:00Z"/>
        <d v="2023-07-31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8-31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d v="2023-12-29T00:00:00Z"/>
        <d v="2023-12-30T00:00:00Z"/>
        <d v="2023-12-31T00:00:00Z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Impressions" numFmtId="0">
      <sharedItems containsSemiMixedTypes="0" containsString="0" containsNumber="1" containsInteger="1">
        <n v="26268.0"/>
        <n v="92883.0"/>
        <n v="14955.0"/>
        <n v="41109.0"/>
        <n v="37989.0"/>
        <n v="61008.0"/>
        <n v="45181.0"/>
        <n v="39529.0"/>
        <n v="84110.0"/>
        <n v="70925.0"/>
        <n v="78307.0"/>
        <n v="70313.0"/>
        <n v="93757.0"/>
        <n v="69770.0"/>
        <n v="69622.0"/>
        <n v="20474.0"/>
        <n v="99778.0"/>
        <n v="61824.0"/>
        <n v="66138.0"/>
        <n v="72950.0"/>
        <n v="69746.0"/>
        <n v="41036.0"/>
        <n v="12284.0"/>
        <n v="67438.0"/>
        <n v="47354.0"/>
        <n v="28310.0"/>
        <n v="25310.0"/>
        <n v="73481.0"/>
        <n v="27514.0"/>
        <n v="51191.0"/>
        <n v="79805.0"/>
        <n v="98345.0"/>
        <n v="32308.0"/>
        <n v="25676.0"/>
        <n v="14162.0"/>
        <n v="75090.0"/>
        <n v="90438.0"/>
        <n v="85990.0"/>
        <n v="81784.0"/>
        <n v="58169.0"/>
        <n v="39755.0"/>
        <n v="78407.0"/>
        <n v="86349.0"/>
        <n v="24867.0"/>
        <n v="91084.0"/>
        <n v="69446.0"/>
        <n v="13572.0"/>
        <n v="10937.0"/>
        <n v="51617.0"/>
        <n v="27084.0"/>
        <n v="81535.0"/>
        <n v="87918.0"/>
        <n v="67900.0"/>
        <n v="86072.0"/>
        <n v="17883.0"/>
        <n v="57777.0"/>
        <n v="81640.0"/>
        <n v="44824.0"/>
        <n v="14995.0"/>
        <n v="67762.0"/>
        <n v="46410.0"/>
        <n v="21953.0"/>
        <n v="33528.0"/>
        <n v="54650.0"/>
        <n v="59691.0"/>
        <n v="25009.0"/>
        <n v="80702.0"/>
        <n v="72929.0"/>
        <n v="82617.0"/>
        <n v="32703.0"/>
        <n v="92119.0"/>
        <n v="25896.0"/>
        <n v="59317.0"/>
        <n v="24567.0"/>
        <n v="24965.0"/>
        <n v="52112.0"/>
        <n v="38805.0"/>
        <n v="28757.0"/>
        <n v="86041.0"/>
        <n v="32225.0"/>
        <n v="34968.0"/>
        <n v="99565.0"/>
        <n v="10200.0"/>
        <n v="72780.0"/>
        <n v="24442.0"/>
        <n v="81070.0"/>
        <n v="13535.0"/>
        <n v="74290.0"/>
        <n v="57867.0"/>
        <n v="52354.0"/>
        <n v="70893.0"/>
        <n v="90617.0"/>
        <n v="27366.0"/>
        <n v="72668.0"/>
        <n v="19183.0"/>
        <n v="95464.0"/>
        <n v="81947.0"/>
        <n v="82060.0"/>
        <n v="56322.0"/>
        <n v="49678.0"/>
        <n v="72964.0"/>
        <n v="94115.0"/>
        <n v="20642.0"/>
        <n v="79972.0"/>
        <n v="93812.0"/>
        <n v="22628.0"/>
        <n v="87129.0"/>
        <n v="95649.0"/>
        <n v="21527.0"/>
        <n v="43354.0"/>
        <n v="84934.0"/>
        <n v="84996.0"/>
        <n v="83171.0"/>
        <n v="95234.0"/>
        <n v="45282.0"/>
        <n v="77080.0"/>
        <n v="26490.0"/>
        <n v="62976.0"/>
        <n v="40110.0"/>
        <n v="67890.0"/>
        <n v="12671.0"/>
        <n v="94264.0"/>
        <n v="59532.0"/>
        <n v="51990.0"/>
        <n v="88738.0"/>
        <n v="50381.0"/>
        <n v="70628.0"/>
        <n v="22138.0"/>
        <n v="78604.0"/>
        <n v="68678.0"/>
        <n v="10897.0"/>
        <n v="29715.0"/>
        <n v="44675.0"/>
        <n v="98876.0"/>
        <n v="17231.0"/>
        <n v="58192.0"/>
        <n v="46401.0"/>
        <n v="92964.0"/>
        <n v="65281.0"/>
        <n v="80391.0"/>
        <n v="88277.0"/>
        <n v="60190.0"/>
        <n v="74681.0"/>
        <n v="87812.0"/>
        <n v="67385.0"/>
        <n v="74469.0"/>
        <n v="32768.0"/>
        <n v="76936.0"/>
        <n v="59774.0"/>
        <n v="41440.0"/>
        <n v="23140.0"/>
        <n v="53053.0"/>
        <n v="95715.0"/>
        <n v="26361.0"/>
        <n v="55684.0"/>
        <n v="66949.0"/>
        <n v="76208.0"/>
        <n v="72025.0"/>
        <n v="91551.0"/>
        <n v="43530.0"/>
        <n v="86963.0"/>
        <n v="87979.0"/>
        <n v="19976.0"/>
        <n v="44371.0"/>
        <n v="61532.0"/>
        <n v="78483.0"/>
        <n v="93791.0"/>
        <n v="28076.0"/>
        <n v="32284.0"/>
        <n v="46812.0"/>
        <n v="57004.0"/>
        <n v="73312.0"/>
        <n v="76451.0"/>
        <n v="67806.0"/>
        <n v="70975.0"/>
        <n v="29461.0"/>
        <n v="74614.0"/>
        <n v="28898.0"/>
        <n v="25283.0"/>
        <n v="28922.0"/>
        <n v="40708.0"/>
        <n v="82221.0"/>
        <n v="25683.0"/>
        <n v="63264.0"/>
        <n v="75831.0"/>
        <n v="86875.0"/>
        <n v="24285.0"/>
        <n v="42691.0"/>
        <n v="73001.0"/>
        <n v="50947.0"/>
        <n v="46456.0"/>
        <n v="84562.0"/>
        <n v="96354.0"/>
        <n v="37440.0"/>
        <n v="54837.0"/>
        <n v="62057.0"/>
        <n v="86230.0"/>
        <n v="46938.0"/>
        <n v="73367.0"/>
        <n v="28556.0"/>
        <n v="31091.0"/>
        <n v="22502.0"/>
        <n v="23195.0"/>
        <n v="16705.0"/>
        <n v="88274.0"/>
        <n v="39115.0"/>
        <n v="18005.0"/>
        <n v="53771.0"/>
        <n v="88214.0"/>
        <n v="40749.0"/>
        <n v="48390.0"/>
        <n v="36444.0"/>
        <n v="50980.0"/>
        <n v="53099.0"/>
        <n v="73679.0"/>
        <n v="38948.0"/>
        <n v="39670.0"/>
        <n v="48916.0"/>
        <n v="64865.0"/>
        <n v="98040.0"/>
        <n v="32581.0"/>
        <n v="55945.0"/>
        <n v="84152.0"/>
        <n v="17289.0"/>
        <n v="54915.0"/>
        <n v="94500.0"/>
        <n v="75026.0"/>
        <n v="30890.0"/>
        <n v="91216.0"/>
        <n v="72902.0"/>
        <n v="11758.0"/>
        <n v="14164.0"/>
        <n v="11775.0"/>
        <n v="54177.0"/>
        <n v="88744.0"/>
        <n v="23927.0"/>
        <n v="89752.0"/>
        <n v="76685.0"/>
        <n v="58195.0"/>
        <n v="26918.0"/>
        <n v="50916.0"/>
        <n v="14691.0"/>
        <n v="69387.0"/>
        <n v="88615.0"/>
        <n v="54624.0"/>
        <n v="22282.0"/>
        <n v="97918.0"/>
        <n v="32836.0"/>
        <n v="15457.0"/>
        <n v="48461.0"/>
        <n v="15448.0"/>
        <n v="63862.0"/>
        <n v="62801.0"/>
        <n v="53734.0"/>
        <n v="94469.0"/>
        <n v="78852.0"/>
        <n v="54645.0"/>
        <n v="53416.0"/>
        <n v="33824.0"/>
        <n v="12008.0"/>
        <n v="14356.0"/>
        <n v="11629.0"/>
        <n v="91727.0"/>
        <n v="80004.0"/>
        <n v="23005.0"/>
        <n v="55696.0"/>
        <n v="67655.0"/>
        <n v="72129.0"/>
        <n v="40518.0"/>
        <n v="14436.0"/>
        <n v="27249.0"/>
        <n v="40345.0"/>
        <n v="62184.0"/>
        <n v="78606.0"/>
        <n v="91632.0"/>
        <n v="87605.0"/>
        <n v="49315.0"/>
        <n v="53875.0"/>
        <n v="18309.0"/>
        <n v="83535.0"/>
        <n v="66799.0"/>
        <n v="87053.0"/>
        <n v="65507.0"/>
        <n v="18907.0"/>
        <n v="88312.0"/>
        <n v="33076.0"/>
        <n v="55614.0"/>
        <n v="54210.0"/>
        <n v="42018.0"/>
        <n v="23750.0"/>
        <n v="16272.0"/>
        <n v="83037.0"/>
        <n v="85760.0"/>
        <n v="59118.0"/>
        <n v="59548.0"/>
        <n v="18054.0"/>
        <n v="80909.0"/>
        <n v="18941.0"/>
        <n v="50637.0"/>
        <n v="55842.0"/>
        <n v="98340.0"/>
        <n v="64827.0"/>
        <n v="47590.0"/>
        <n v="17032.0"/>
        <n v="98321.0"/>
        <n v="13212.0"/>
        <n v="12657.0"/>
        <n v="19896.0"/>
        <n v="88487.0"/>
        <n v="35632.0"/>
        <n v="94021.0"/>
        <n v="68712.0"/>
        <n v="20540.0"/>
        <n v="35478.0"/>
        <n v="53934.0"/>
        <n v="93139.0"/>
        <n v="76825.0"/>
        <n v="69812.0"/>
        <n v="55567.0"/>
        <n v="71139.0"/>
        <n v="72501.0"/>
        <n v="60693.0"/>
        <n v="76237.0"/>
        <n v="25965.0"/>
        <n v="97709.0"/>
        <n v="62949.0"/>
        <n v="49105.0"/>
        <n v="17204.0"/>
        <n v="16782.0"/>
        <n v="14376.0"/>
        <n v="78944.0"/>
        <n v="26974.0"/>
        <n v="38378.0"/>
        <n v="99954.0"/>
        <n v="92967.0"/>
        <n v="57849.0"/>
        <n v="106053.0"/>
        <n v="76114.0"/>
        <n v="56666.0"/>
        <n v="71577.0"/>
        <n v="106918.0"/>
        <n v="71077.0"/>
        <n v="44348.0"/>
        <n v="64166.0"/>
        <n v="34386.0"/>
        <n v="110153.0"/>
        <n v="24831.0"/>
        <n v="108166.0"/>
        <n v="91150.0"/>
        <n v="46523.0"/>
        <n v="98159.0"/>
        <n v="83588.0"/>
        <n v="104190.0"/>
        <n v="24959.0"/>
        <n v="67027.0"/>
        <n v="70871.0"/>
        <n v="80032.0"/>
        <n v="108915.0"/>
        <n v="31756.0"/>
        <n v="95173.0"/>
        <n v="100035.0"/>
        <n v="59646.0"/>
        <n v="47837.0"/>
        <n v="88825.0"/>
      </sharedItems>
    </cacheField>
    <cacheField name="CTR" numFmtId="10">
      <sharedItems containsSemiMixedTypes="0" containsString="0" containsNumber="1">
        <n v="0.019872087711283692"/>
        <n v="0.016999881571439338"/>
        <n v="0.018455366098294883"/>
        <n v="0.017076552579727067"/>
        <n v="0.014583168812024533"/>
        <n v="0.017784552845528455"/>
        <n v="0.02757796418848631"/>
        <n v="0.009992663614055503"/>
        <n v="0.020496968255855428"/>
        <n v="0.01849841381741276"/>
        <n v="0.009999106082470278"/>
        <n v="0.017990983175230756"/>
        <n v="0.019390552172104482"/>
        <n v="0.018288662749032535"/>
        <n v="0.02698859555887507"/>
        <n v="0.028475139200937773"/>
        <n v="0.022399727394816493"/>
        <n v="0.026187241200828156"/>
        <n v="0.011687683328797363"/>
        <n v="0.01409184372858122"/>
        <n v="0.021693000315430276"/>
        <n v="0.012379374208012477"/>
        <n v="0.01294366655812439"/>
        <n v="0.016889587472938106"/>
        <n v="0.02608016218270896"/>
        <n v="0.011374072765807135"/>
        <n v="0.015566969577242197"/>
        <n v="0.009988976742287122"/>
        <n v="0.026677327905793413"/>
        <n v="0.029184817643726435"/>
        <n v="0.019998746945680095"/>
        <n v="0.026996796990187606"/>
        <n v="0.012876067846972886"/>
        <n v="0.02449758529365945"/>
        <n v="0.028880101680553594"/>
        <n v="0.027487015581302437"/>
        <n v="0.011090470819788142"/>
        <n v="0.025689033608559134"/>
        <n v="0.010894551501516189"/>
        <n v="0.02659492169368564"/>
        <n v="0.028197710979750976"/>
        <n v="0.022893364112898083"/>
        <n v="0.0203939825591495"/>
        <n v="0.02046889451884023"/>
        <n v="0.01979491458433973"/>
        <n v="0.02809377069953633"/>
        <n v="0.013557323902151489"/>
        <n v="0.016823626222913047"/>
        <n v="0.013580797024236202"/>
        <n v="0.02226406734603456"/>
        <n v="0.014999693383209665"/>
        <n v="0.011089879205623421"/>
        <n v="0.013490427098674521"/>
        <n v="0.010990798401338415"/>
        <n v="0.026952972096404407"/>
        <n v="0.015594440694393964"/>
        <n v="0.02639637432631063"/>
        <n v="0.028779225414956273"/>
        <n v="0.011270423474491496"/>
        <n v="0.019391399309347423"/>
        <n v="0.02798965740142211"/>
        <n v="0.02587345693071562"/>
        <n v="0.01527081842042472"/>
        <n v="0.023897529734675207"/>
        <n v="0.022298168903184735"/>
        <n v="0.023671478267823582"/>
        <n v="0.024596664271021782"/>
        <n v="0.028699145744491217"/>
        <n v="0.023590786399893485"/>
        <n v="0.02498241751521267"/>
        <n v="0.01669579565561936"/>
        <n v="0.01957831325301205"/>
        <n v="0.010486032671915302"/>
        <n v="0.012577848333129808"/>
        <n v="0.020388543961546164"/>
        <n v="0.02818928461774639"/>
        <n v="0.017188506635742815"/>
        <n v="0.020099454045971417"/>
        <n v="0.010692576794783882"/>
        <n v="0.023491078355314197"/>
        <n v="0.028683367650423244"/>
        <n v="0.017194797368553207"/>
        <n v="0.01215686274509804"/>
        <n v="0.025295410827150314"/>
        <n v="0.024097864331887733"/>
        <n v="0.013395830763537684"/>
        <n v="0.02305134835611378"/>
        <n v="0.02978866603849778"/>
        <n v="0.013099002885928076"/>
        <n v="0.013294113152767698"/>
        <n v="0.016898706501347102"/>
        <n v="0.019190659589260292"/>
        <n v="0.011876050573704597"/>
        <n v="0.02988935982826003"/>
        <n v="0.023354011364228745"/>
        <n v="0.018698147992960698"/>
        <n v="0.02579716158004564"/>
        <n v="0.023495003655861563"/>
        <n v="0.01059976563332268"/>
        <n v="0.017492652683280326"/>
        <n v="0.02679403541472507"/>
        <n v="0.01769112256282208"/>
        <n v="0.02097664954946226"/>
        <n v="0.012591907167508628"/>
        <n v="0.021095382253869442"/>
        <n v="0.015865299628778504"/>
        <n v="0.0120970055894134"/>
        <n v="0.018996539430626562"/>
        <n v="0.018488409903841686"/>
        <n v="0.016492134520459473"/>
        <n v="0.027798054960322133"/>
        <n v="0.02318932655654384"/>
        <n v="0.02479229539142249"/>
        <n v="0.010699960098284226"/>
        <n v="0.022989267258513316"/>
        <n v="0.01249351323300467"/>
        <n v="0.020762551906379767"/>
        <n v="0.011099466463414634"/>
        <n v="0.02099227125405136"/>
        <n v="0.019988216232140227"/>
        <n v="0.017283560887064953"/>
        <n v="0.013791054909615548"/>
        <n v="0.023096821877309683"/>
        <n v="0.025889594152721677"/>
        <n v="0.019799860262796096"/>
        <n v="0.01808221353287946"/>
        <n v="0.02559891261256159"/>
        <n v="0.020598066672689493"/>
        <n v="0.024998727800111954"/>
        <n v="0.028189522117708726"/>
        <n v="0.02129026337524089"/>
        <n v="0.025677267373380448"/>
        <n v="0.01719082260772244"/>
        <n v="0.015393017516889842"/>
        <n v="0.02025419302420057"/>
        <n v="0.02039799285125103"/>
        <n v="0.020883170621322816"/>
        <n v="0.015296243707241513"/>
        <n v="0.02798670363505461"/>
        <n v="0.010187707579206628"/>
        <n v="0.012789288263080983"/>
        <n v="0.010383784681840837"/>
        <n v="0.014889998794874197"/>
        <n v="0.011399353163576731"/>
        <n v="0.027988424723603175"/>
        <n v="0.025889967637540454"/>
        <n v="0.021087646484375"/>
        <n v="0.027295414370385775"/>
        <n v="0.021196506842439858"/>
        <n v="0.027799227799227798"/>
        <n v="0.013396715643906655"/>
        <n v="0.022298456260720412"/>
        <n v="0.017896881366556965"/>
        <n v="0.020864155381055346"/>
        <n v="0.021891387112994758"/>
        <n v="0.029694244872963002"/>
        <n v="0.01789838337182448"/>
        <n v="0.021895175286358905"/>
        <n v="0.022796037181461698"/>
        <n v="0.01428899609464737"/>
        <n v="0.026494026195048467"/>
        <n v="0.013696450289273576"/>
        <n v="0.02117541049259111"/>
        <n v="0.028284239706114354"/>
        <n v="0.020590912045764805"/>
        <n v="0.026489813080539736"/>
        <n v="0.029096608416585814"/>
        <n v="0.01798689271976065"/>
        <n v="0.010686408127865196"/>
        <n v="0.02469452277193882"/>
        <n v="0.023489579678619043"/>
        <n v="0.027894478393714534"/>
        <n v="0.029587578972152098"/>
        <n v="0.013995811580096157"/>
        <n v="0.011299753434307854"/>
        <n v="0.015274430603170294"/>
        <n v="0.01719516444635055"/>
        <n v="0.02699148730015918"/>
        <n v="0.019182850136455324"/>
        <n v="0.014072332480464697"/>
        <n v="0.02228063279944974"/>
        <n v="0.028897726858101946"/>
        <n v="0.027099637892769535"/>
        <n v="0.01979008598887203"/>
        <n v="0.017196133507404624"/>
        <n v="0.02729208633093525"/>
        <n v="0.02207123738933498"/>
        <n v="0.026680096507460588"/>
        <n v="0.019492883659127956"/>
        <n v="0.01729248042082949"/>
        <n v="0.026498191837437575"/>
        <n v="0.012889950568813415"/>
        <n v="0.028696265853000395"/>
        <n v="0.02919337606837607"/>
        <n v="0.01278333971588526"/>
        <n v="0.01819295164123306"/>
        <n v="0.024191116780702772"/>
        <n v="0.027184796966210747"/>
        <n v="0.02209440211539248"/>
        <n v="0.016178736517719568"/>
        <n v="0.02939757486089222"/>
        <n v="0.011776730957248245"/>
        <n v="0.015563699073076094"/>
        <n v="0.022568093385214007"/>
        <n v="0.02189772753019009"/>
        <n v="0.011274447143039755"/>
        <n v="0.01988336573174118"/>
        <n v="0.028993323538710456"/>
        <n v="0.012991135193960142"/>
        <n v="0.023779724655819776"/>
        <n v="0.017482951022938623"/>
        <n v="0.02368016683130282"/>
        <n v="0.015496273048254218"/>
        <n v="0.01608316540801145"/>
        <n v="0.026886901288019655"/>
        <n v="0.020591557974735546"/>
        <n v="0.02127552306528863"/>
        <n v="0.012593016599885518"/>
        <n v="0.029599938333461806"/>
        <n v="0.016799265605875153"/>
        <n v="0.010097909824744483"/>
        <n v="0.020895522388059702"/>
        <n v="0.014889723357733625"/>
        <n v="0.01665799062988027"/>
        <n v="0.012983702085040518"/>
        <n v="0.022095238095238095"/>
        <n v="0.028390158078532776"/>
        <n v="0.02457105859501457"/>
        <n v="0.01329810559550956"/>
        <n v="0.019190145675015775"/>
        <n v="0.0222827011396496"/>
        <n v="0.020333239197966677"/>
        <n v="0.016390658174097666"/>
        <n v="0.025896598187422706"/>
        <n v="0.02599612368160101"/>
        <n v="0.029381033978350818"/>
        <n v="0.015698814511097246"/>
        <n v="0.016391732411814568"/>
        <n v="0.02479594466878598"/>
        <n v="0.014488446392748346"/>
        <n v="0.012196559038416216"/>
        <n v="0.019671907970866518"/>
        <n v="0.019095796042486346"/>
        <n v="0.01469277210404559"/>
        <n v="0.02619727592267135"/>
        <n v="0.026299255004039134"/>
        <n v="0.026798277405875582"/>
        <n v="0.018597193570130108"/>
        <n v="0.024972591058594226"/>
        <n v="0.013262599469496022"/>
        <n v="0.01359856379356596"/>
        <n v="0.026540652511651993"/>
        <n v="0.018994080987128497"/>
        <n v="0.00999984076686677"/>
        <n v="0.0144973387426955"/>
        <n v="0.016195789094835343"/>
        <n v="0.021090143560087253"/>
        <n v="0.01008326470857352"/>
        <n v="0.026284259397933205"/>
        <n v="0.01699976348155156"/>
        <n v="0.014490339773484344"/>
        <n v="0.010448592922819726"/>
        <n v="0.012984779430733511"/>
        <n v="0.015295387399566103"/>
        <n v="0.019899005049747513"/>
        <n v="0.02908063464464247"/>
        <n v="0.028996696351623098"/>
        <n v="0.012888921735274554"/>
        <n v="0.022390439351717063"/>
        <n v="0.016289056715533837"/>
        <n v="0.016070933776669436"/>
        <n v="0.02789093177731293"/>
        <n v="0.02649646796381212"/>
        <n v="0.025890904412710664"/>
        <n v="0.028687377553876296"/>
        <n v="0.02009123450323031"/>
        <n v="0.018389361337823183"/>
        <n v="0.015695021798641386"/>
        <n v="0.024"/>
        <n v="0.021574089245726145"/>
        <n v="0.02279284132399593"/>
        <n v="0.01739546999206575"/>
        <n v="0.01709303527735977"/>
        <n v="0.016395194406704627"/>
        <n v="0.014491987094726821"/>
        <n v="0.028399311531841654"/>
        <n v="0.026393759825855605"/>
        <n v="0.0203905491423023"/>
        <n v="0.01588267847260653"/>
        <n v="0.01718311199961921"/>
        <n v="0.013263157894736841"/>
        <n v="0.014441986234021632"/>
        <n v="0.021990197141033514"/>
        <n v="0.023192630597014926"/>
        <n v="0.015595926790486823"/>
        <n v="0.014593269295358367"/>
        <n v="0.02935637531848898"/>
        <n v="0.014992151676574918"/>
        <n v="0.024549918166939442"/>
        <n v="0.017694571163378556"/>
        <n v="0.017692776046703197"/>
        <n v="0.01899532235102705"/>
        <n v="0.018495380011414996"/>
        <n v="0.029480983399873924"/>
        <n v="0.02665570690465007"/>
        <n v="0.0190905299986778"/>
        <n v="0.016727217680896155"/>
        <n v="0.018171762660978114"/>
        <n v="0.024778850020104545"/>
        <n v="0.029495858148654606"/>
        <n v="0.01947687471935339"/>
        <n v="0.023090586145648313"/>
        <n v="0.02379497031086273"/>
        <n v="0.02439143135345667"/>
        <n v="0.011781949377078754"/>
        <n v="0.013497979011384284"/>
        <n v="0.025692781756299726"/>
        <n v="0.016492027334851937"/>
        <n v="0.01678794476594282"/>
        <n v="0.010185901704248925"/>
        <n v="0.028493512700487778"/>
        <n v="0.014399801382049902"/>
        <n v="0.01179707709291022"/>
        <n v="0.019386911866941248"/>
        <n v="0.01009050645099172"/>
        <n v="0.02389749153097463"/>
        <n v="0.011993836280163307"/>
        <n v="0.015395580898075552"/>
        <n v="0.01325273192280865"/>
        <n v="0.010368251698248123"/>
        <n v="0.017042292710072342"/>
        <n v="0.023294993919740575"/>
        <n v="0.02517238822569882"/>
        <n v="0.026395330658189588"/>
        <n v="0.024481261380234907"/>
        <n v="0.020189959878236362"/>
        <n v="0.011581876955522135"/>
        <n v="0.02609072822079526"/>
        <n v="0.010090127965945819"/>
        <n v="0.029788585748067625"/>
        <n v="0.020788800871788422"/>
        <n v="0.015582034830430797"/>
        <n v="0.023073568102199023"/>
        <n v="0.018670515017588166"/>
        <n v="0.011781940591590562"/>
        <n v="0.009974989821438957"/>
        <n v="0.020190099225622544"/>
        <n v="0.02984173009544521"/>
        <n v="0.027790618123994602"/>
        <n v="0.02729566648381788"/>
        <n v="0.014465963072028888"/>
        <n v="0.016789087093389297"/>
        <n v="0.02928650045461071"/>
        <n v="0.02609655437182071"/>
        <n v="0.010978003926439361"/>
        <n v="0.015784683784146686"/>
        <n v="0.010681378843250412"/>
        <n v="0.021591363454618154"/>
        <n v="0.012091998347335077"/>
        <n v="0.01807532434815468"/>
        <n v="0.022590440566126947"/>
        <n v="0.022891987804268505"/>
        <n v="0.01788887771183315"/>
        <n v="0.024374438196375192"/>
        <n v="0.024587672389529976"/>
      </sharedItems>
    </cacheField>
    <cacheField name="Clicks" numFmtId="0">
      <sharedItems containsSemiMixedTypes="0" containsString="0" containsNumber="1" containsInteger="1">
        <n v="522.0"/>
        <n v="1579.0"/>
        <n v="276.0"/>
        <n v="702.0"/>
        <n v="554.0"/>
        <n v="1085.0"/>
        <n v="1246.0"/>
        <n v="395.0"/>
        <n v="1724.0"/>
        <n v="1312.0"/>
        <n v="783.0"/>
        <n v="1265.0"/>
        <n v="1818.0"/>
        <n v="1276.0"/>
        <n v="1879.0"/>
        <n v="583.0"/>
        <n v="2235.0"/>
        <n v="1619.0"/>
        <n v="773.0"/>
        <n v="1028.0"/>
        <n v="1513.0"/>
        <n v="508.0"/>
        <n v="159.0"/>
        <n v="1139.0"/>
        <n v="1235.0"/>
        <n v="322.0"/>
        <n v="394.0"/>
        <n v="734.0"/>
        <n v="1494.0"/>
        <n v="1596.0"/>
        <n v="2655.0"/>
        <n v="416.0"/>
        <n v="629.0"/>
        <n v="409.0"/>
        <n v="2064.0"/>
        <n v="1003.0"/>
        <n v="2209.0"/>
        <n v="891.0"/>
        <n v="1547.0"/>
        <n v="1121.0"/>
        <n v="1795.0"/>
        <n v="1761.0"/>
        <n v="509.0"/>
        <n v="1803.0"/>
        <n v="1951.0"/>
        <n v="184.0"/>
        <n v="701.0"/>
        <n v="603.0"/>
        <n v="1223.0"/>
        <n v="975.0"/>
        <n v="916.0"/>
        <n v="946.0"/>
        <n v="482.0"/>
        <n v="901.0"/>
        <n v="2155.0"/>
        <n v="1290.0"/>
        <n v="169.0"/>
        <n v="1314.0"/>
        <n v="1299.0"/>
        <n v="568.0"/>
        <n v="512.0"/>
        <n v="1306.0"/>
        <n v="1331.0"/>
        <n v="592.0"/>
        <n v="1985.0"/>
        <n v="2093.0"/>
        <n v="1949.0"/>
        <n v="817.0"/>
        <n v="1538.0"/>
        <n v="507.0"/>
        <n v="622.0"/>
        <n v="309.0"/>
        <n v="1469.0"/>
        <n v="667.0"/>
        <n v="578.0"/>
        <n v="920.0"/>
        <n v="757.0"/>
        <n v="1712.0"/>
        <n v="124.0"/>
        <n v="1841.0"/>
        <n v="589.0"/>
        <n v="1086.0"/>
        <n v="312.0"/>
        <n v="2213.0"/>
        <n v="758.0"/>
        <n v="696.0"/>
        <n v="1198.0"/>
        <n v="1739.0"/>
        <n v="325.0"/>
        <n v="2172.0"/>
        <n v="448.0"/>
        <n v="1785.0"/>
        <n v="2114.0"/>
        <n v="1928.0"/>
        <n v="597.0"/>
        <n v="869.0"/>
        <n v="1955.0"/>
        <n v="1665.0"/>
        <n v="433.0"/>
        <n v="1007.0"/>
        <n v="1979.0"/>
        <n v="359.0"/>
        <n v="1054.0"/>
        <n v="1817.0"/>
        <n v="398.0"/>
        <n v="715.0"/>
        <n v="2361.0"/>
        <n v="1971.0"/>
        <n v="2062.0"/>
        <n v="1019.0"/>
        <n v="1041.0"/>
        <n v="963.0"/>
        <n v="550.0"/>
        <n v="699.0"/>
        <n v="842.0"/>
        <n v="1357.0"/>
        <n v="219.0"/>
        <n v="1300.0"/>
        <n v="1375.0"/>
        <n v="1346.0"/>
        <n v="1757.0"/>
        <n v="911.0"/>
        <n v="1808.0"/>
        <n v="456.0"/>
        <n v="1965.0"/>
        <n v="1936.0"/>
        <n v="232.0"/>
        <n v="763.0"/>
        <n v="768.0"/>
        <n v="1522.0"/>
        <n v="349.0"/>
        <n v="1187.0"/>
        <n v="969.0"/>
        <n v="1422.0"/>
        <n v="1827.0"/>
        <n v="819.0"/>
        <n v="1129.0"/>
        <n v="625.0"/>
        <n v="1112.0"/>
        <n v="1001.0"/>
        <n v="1886.0"/>
        <n v="691.0"/>
        <n v="2100.0"/>
        <n v="1267.0"/>
        <n v="1152.0"/>
        <n v="310.0"/>
        <n v="1183.0"/>
        <n v="1713.0"/>
        <n v="1219.0"/>
        <n v="1988.0"/>
        <n v="1364.0"/>
        <n v="1577.0"/>
        <n v="2087.0"/>
        <n v="2304.0"/>
        <n v="1205.0"/>
        <n v="423.0"/>
        <n v="1255.0"/>
        <n v="2079.0"/>
        <n v="2729.0"/>
        <n v="505.0"/>
        <n v="345.0"/>
        <n v="1156.0"/>
        <n v="1339.0"/>
        <n v="2045.0"/>
        <n v="2262.0"/>
        <n v="949.0"/>
        <n v="802.0"/>
        <n v="450.0"/>
        <n v="1283.0"/>
        <n v="780.0"/>
        <n v="485.0"/>
        <n v="407.0"/>
        <n v="907.0"/>
        <n v="2376.0"/>
        <n v="1252.0"/>
        <n v="1304.0"/>
        <n v="2371.0"/>
        <n v="536.0"/>
        <n v="1423.0"/>
        <n v="881.0"/>
        <n v="1231.0"/>
        <n v="1090.0"/>
        <n v="2765.0"/>
        <n v="1093.0"/>
        <n v="2086.0"/>
        <n v="1621.0"/>
        <n v="462.0"/>
        <n v="914.0"/>
        <n v="265.0"/>
        <n v="361.0"/>
        <n v="377.0"/>
        <n v="1933.0"/>
        <n v="441.0"/>
        <n v="358.0"/>
        <n v="1559.0"/>
        <n v="1146.0"/>
        <n v="846.0"/>
        <n v="863.0"/>
        <n v="790.0"/>
        <n v="854.0"/>
        <n v="1981.0"/>
        <n v="844.0"/>
        <n v="616.0"/>
        <n v="1920.0"/>
        <n v="1647.0"/>
        <n v="329.0"/>
        <n v="1169.0"/>
        <n v="1253.0"/>
        <n v="288.0"/>
        <n v="713.0"/>
        <n v="2088.0"/>
        <n v="2130.0"/>
        <n v="759.0"/>
        <n v="1213.0"/>
        <n v="1399.0"/>
        <n v="262.0"/>
        <n v="193.0"/>
        <n v="1403.0"/>
        <n v="2307.0"/>
        <n v="703.0"/>
        <n v="1409.0"/>
        <n v="1257.0"/>
        <n v="1443.0"/>
        <n v="390.0"/>
        <n v="621.0"/>
        <n v="289.0"/>
        <n v="1325.0"/>
        <n v="1302.0"/>
        <n v="1431.0"/>
        <n v="586.0"/>
        <n v="2514.0"/>
        <n v="1821.0"/>
        <n v="820.0"/>
        <n v="205.0"/>
        <n v="659.0"/>
        <n v="410.0"/>
        <n v="628.0"/>
        <n v="779.0"/>
        <n v="1530.0"/>
        <n v="1663.0"/>
        <n v="551.0"/>
        <n v="1404.0"/>
        <n v="575.0"/>
        <n v="174.0"/>
        <n v="150.0"/>
        <n v="151.0"/>
        <n v="1592.0"/>
        <n v="669.0"/>
        <n v="1615.0"/>
        <n v="872.0"/>
        <n v="660.0"/>
        <n v="760.0"/>
        <n v="1069.0"/>
        <n v="1610.0"/>
        <n v="2255.0"/>
        <n v="1611.0"/>
        <n v="774.0"/>
        <n v="1293.0"/>
        <n v="1904.0"/>
        <n v="1162.0"/>
        <n v="1488.0"/>
        <n v="1074.0"/>
        <n v="274.0"/>
        <n v="2508.0"/>
        <n v="873.0"/>
        <n v="1134.0"/>
        <n v="861.0"/>
        <n v="722.0"/>
        <n v="315.0"/>
        <n v="235.0"/>
        <n v="1826.0"/>
        <n v="1989.0"/>
        <n v="922.0"/>
        <n v="530.0"/>
        <n v="465.0"/>
        <n v="896.0"/>
        <n v="988.0"/>
        <n v="1868.0"/>
        <n v="1199.0"/>
        <n v="454.0"/>
        <n v="1877.0"/>
        <n v="221.0"/>
        <n v="230.0"/>
        <n v="493.0"/>
        <n v="2610.0"/>
        <n v="694.0"/>
        <n v="2171.0"/>
        <n v="1635.0"/>
        <n v="501.0"/>
        <n v="418.0"/>
        <n v="728.0"/>
        <n v="2393.0"/>
        <n v="1172.0"/>
        <n v="566.0"/>
        <n v="2027.0"/>
        <n v="1044.0"/>
        <n v="716.0"/>
        <n v="1478.0"/>
        <n v="2335.0"/>
        <n v="755.0"/>
        <n v="756.0"/>
        <n v="228.0"/>
        <n v="245.0"/>
        <n v="1839.0"/>
        <n v="679.0"/>
        <n v="1013.0"/>
        <n v="2447.0"/>
        <n v="670.0"/>
        <n v="2767.0"/>
        <n v="1688.0"/>
        <n v="1666.0"/>
        <n v="1640.0"/>
        <n v="828.0"/>
        <n v="343.0"/>
        <n v="2224.0"/>
        <n v="741.0"/>
        <n v="3006.0"/>
        <n v="2488.0"/>
        <n v="673.0"/>
        <n v="1648.0"/>
        <n v="2448.0"/>
        <n v="2719.0"/>
        <n v="1058.0"/>
        <n v="1728.0"/>
        <n v="1317.0"/>
        <n v="574.0"/>
        <n v="2150.0"/>
        <n v="2290.0"/>
        <n v="1067.0"/>
        <n v="1166.0"/>
        <n v="2184.0"/>
      </sharedItems>
    </cacheField>
    <cacheField name="CPC" numFmtId="165">
      <sharedItems containsSemiMixedTypes="0" containsString="0" containsNumber="1">
        <n v="1.2317241379310346"/>
        <n v="1.3900063331222294"/>
        <n v="1.1327173913043478"/>
        <n v="1.8024643874643873"/>
        <n v="1.4416606498194946"/>
        <n v="1.8315852534562211"/>
        <n v="1.0108025682182986"/>
        <n v="1.6712151898734178"/>
        <n v="1.3601972157772622"/>
        <n v="1.7701448170731706"/>
        <n v="1.8101532567049807"/>
        <n v="1.7108537549407115"/>
        <n v="1.2005830583058306"/>
        <n v="1.8411363636363636"/>
        <n v="1.3705747738158596"/>
        <n v="2.0017324185248713"/>
        <n v="1.7400178970917226"/>
        <n v="1.200580605311921"/>
        <n v="1.6517335058214748"/>
        <n v="1.2407101167315175"/>
        <n v="1.610515532055519"/>
        <n v="1.4023228346456693"/>
        <n v="1.0143396226415093"/>
        <n v="1.5209306409130816"/>
        <n v="1.9414736842105262"/>
        <n v="1.83416149068323"/>
        <n v="1.924060913705584"/>
        <n v="1.6918528610354222"/>
        <n v="1.201008174386921"/>
        <n v="1.560809906291834"/>
        <n v="1.560093984962406"/>
        <n v="1.1401318267419962"/>
        <n v="1.8233653846153846"/>
        <n v="1.1801112877583466"/>
        <n v="1.1007334963325184"/>
        <n v="1.7808381782945737"/>
        <n v="1.391186440677966"/>
        <n v="1.600679040289724"/>
        <n v="1.0805387205387205"/>
        <n v="1.9503684550743372"/>
        <n v="1.1100892060660126"/>
        <n v="1.1603342618384402"/>
        <n v="1.0002896081771722"/>
        <n v="1.502278978388998"/>
        <n v="1.3603438713255684"/>
        <n v="1.7503844182470527"/>
        <n v="1.9059782608695652"/>
        <n v="1.928695652173913"/>
        <n v="1.9928102710413695"/>
        <n v="1.963150912106136"/>
        <n v="1.7400327064595258"/>
        <n v="1.621476923076923"/>
        <n v="1.711211790393013"/>
        <n v="1.5913213530655392"/>
        <n v="1.3022614107883819"/>
        <n v="1.1403995560488347"/>
        <n v="1.370185614849188"/>
        <n v="1.7412558139534882"/>
        <n v="1.6342603550295858"/>
        <n v="1.3005707762557077"/>
        <n v="1.59058506543495"/>
        <n v="1.22125"/>
        <n v="1.59302734375"/>
        <n v="1.7601761102603368"/>
        <n v="1.2200976709241171"/>
        <n v="1.031233108108108"/>
        <n v="1.060141057934509"/>
        <n v="1.3400382226469183"/>
        <n v="1.5305951770138533"/>
        <n v="1.1808200734394125"/>
        <n v="1.360338101430429"/>
        <n v="1.3714990138067062"/>
        <n v="1.882491961414791"/>
        <n v="1.0318122977346278"/>
        <n v="1.690943025540275"/>
        <n v="1.750660313138189"/>
        <n v="1.5610344827586207"/>
        <n v="1.4500346020761246"/>
        <n v="1.7612173913043478"/>
        <n v="1.8907133421400264"/>
        <n v="1.2006879361914258"/>
        <n v="1.240373831775701"/>
        <n v="1.6156451612903227"/>
        <n v="1.83033134166214"/>
        <n v="1.0400848896434636"/>
        <n v="1.2503867403314919"/>
        <n v="1.362852564102564"/>
        <n v="1.8006823316764573"/>
        <n v="1.2700923482849604"/>
        <n v="1.3105747126436782"/>
        <n v="1.4501085141903172"/>
        <n v="1.9009200690051753"/>
        <n v="1.523046153846154"/>
        <n v="1.3904926335174954"/>
        <n v="1.7033258928571429"/>
        <n v="1.5701512605042016"/>
        <n v="1.7301892147587512"/>
        <n v="1.960414937759336"/>
        <n v="1.4200167504187604"/>
        <n v="1.30054085155351"/>
        <n v="1.3302915601023018"/>
        <n v="1.2306126126126125"/>
        <n v="1.6918706697459585"/>
        <n v="1.4309136047666335"/>
        <n v="1.9804295098534614"/>
        <n v="1.1023955431754875"/>
        <n v="1.7304269449715368"/>
        <n v="1.4202586681342872"/>
        <n v="1.8611557788944724"/>
        <n v="1.770839160839161"/>
        <n v="1.4500974163490046"/>
        <n v="1.8808625063419584"/>
        <n v="1.0003103782735208"/>
        <n v="1.9300000000000002"/>
        <n v="2.0009317963496636"/>
        <n v="1.8009345794392524"/>
        <n v="1.843309090909091"/>
        <n v="1.1900429184549357"/>
        <n v="1.3104750593824228"/>
        <n v="1.7210095799557847"/>
        <n v="1.4914155251141552"/>
        <n v="1.3408615384615383"/>
        <n v="1.610218181818182"/>
        <n v="1.5406166419019316"/>
        <n v="1.7400113830392714"/>
        <n v="1.0610318331503843"/>
        <n v="1.97008296460177"/>
        <n v="1.260109649122807"/>
        <n v="1.2200610687022901"/>
        <n v="1.9507231404958678"/>
        <n v="1.990905172413793"/>
        <n v="1.691494102228047"/>
        <n v="1.3907291666666666"/>
        <n v="1.9508804204993428"/>
        <n v="1.0323209169054441"/>
        <n v="1.2501179443976411"/>
        <n v="1.3410732714138287"/>
        <n v="1.7404219409282702"/>
        <n v="1.3206239737274221"/>
        <n v="1.2114529914529915"/>
        <n v="1.4412046058458812"/>
        <n v="1.943024"/>
        <n v="1.6010701438848922"/>
        <n v="1.47007992007992"/>
        <n v="1.8007423117709438"/>
        <n v="1.9707624481327801"/>
        <n v="1.3007525325615052"/>
        <n v="1.7102857142857142"/>
        <n v="1.0001578531965272"/>
        <n v="1.8000434027777779"/>
        <n v="1.300290322580645"/>
        <n v="1.1000760777683856"/>
        <n v="1.9203327495621718"/>
        <n v="1.8431454545454546"/>
        <n v="1.6906644790812142"/>
        <n v="1.0902062374245471"/>
        <n v="1.8901686217008797"/>
        <n v="1.320285351934052"/>
        <n v="1.2802204120747485"/>
        <n v="1.4310932475884244"/>
        <n v="1.0702387152777777"/>
        <n v="1.2003070539419087"/>
        <n v="1.0311820330969268"/>
        <n v="1.9010517928286854"/>
        <n v="1.1404972375690607"/>
        <n v="1.2604810004810005"/>
        <n v="1.8802161964089408"/>
        <n v="1.2909306930693067"/>
        <n v="1.9624927536231882"/>
        <n v="1.2202681660899655"/>
        <n v="1.670739357729649"/>
        <n v="1.7203374083129586"/>
        <n v="1.7707427055702918"/>
        <n v="1.9705795574288725"/>
        <n v="1.9100374064837904"/>
        <n v="1.4424000000000001"/>
        <n v="1.6904676539360872"/>
        <n v="1.670525641025641"/>
        <n v="1.7915876288659793"/>
        <n v="1.1923341523341522"/>
        <n v="1.9316758544652701"/>
        <n v="1.4501136363636362"/>
        <n v="1.04"/>
        <n v="1.860926517571885"/>
        <n v="1.0002223926380367"/>
        <n v="1.4704259805989035"/>
        <n v="1.471902985074627"/>
        <n v="1.481097453906936"/>
        <n v="1.8806816584680253"/>
        <n v="1.7107377979568672"/>
        <n v="1.4600974817221772"/>
        <n v="1.3010091743119265"/>
        <n v="1.2201555153707053"/>
        <n v="1.5803568161024701"/>
        <n v="1.7222396576319543"/>
        <n v="1.9407440212577503"/>
        <n v="1.660608820709492"/>
        <n v="1.4007758620689656"/>
        <n v="1.8304626773596544"/>
        <n v="1.1214718614718615"/>
        <n v="1.4701203501094093"/>
        <n v="1.2524528301886793"/>
        <n v="1.874349030470914"/>
        <n v="1.8125464190981433"/>
        <n v="1.0601086394205899"/>
        <n v="1.122517006802721"/>
        <n v="1.371145251396648"/>
        <n v="1.760404105195638"/>
        <n v="1.7511867364746945"/>
        <n v="1.3211248710010322"/>
        <n v="1.1110756501182033"/>
        <n v="1.8515411355735807"/>
        <n v="1.4103291139240508"/>
        <n v="1.1011475409836065"/>
        <n v="1.5607571933366986"/>
        <n v="1.5306234413965087"/>
        <n v="1.6018364928909954"/>
        <n v="1.1506331168831168"/>
        <n v="1.96"/>
        <n v="1.1800485731633272"/>
        <n v="1.4002735562310031"/>
        <n v="1.9304106073567153"/>
        <n v="1.5510694333599362"/>
        <n v="1.8646874999999998"/>
        <n v="1.4918653576437588"/>
        <n v="1.2402634099616858"/>
        <n v="1.6505680751173708"/>
        <n v="1.1012911725955203"/>
        <n v="1.8302555647155812"/>
        <n v="1.5207791279485348"/>
        <n v="1.5611832061068702"/>
        <n v="1.6353472222222223"/>
        <n v="1.140621761658031"/>
        <n v="1.6902209550962224"/>
        <n v="1.1401690507152145"/>
        <n v="1.3008250355618778"/>
        <n v="1.9701419446415898"/>
        <n v="1.7608830548926013"/>
        <n v="1.7302772002772002"/>
        <n v="1.7113589743589743"/>
        <n v="1.470402576489533"/>
        <n v="2.0028373702422146"/>
        <n v="1.0702339622641508"/>
        <n v="1.8609139784946236"/>
        <n v="1.0000978336827395"/>
        <n v="1.1600170648464163"/>
        <n v="1.1900755767700875"/>
        <n v="1.6602471169686985"/>
        <n v="1.9220975609756097"/>
        <n v="1.9755121951219512"/>
        <n v="1.6701669195751139"/>
        <n v="1.0623658536585365"/>
        <n v="1.7905523495465787"/>
        <n v="1.730015923566879"/>
        <n v="1.4102567394094994"/>
        <n v="1.0802745098039215"/>
        <n v="1.2205652435357788"/>
        <n v="1.682776769509982"/>
        <n v="1.7510470085470085"/>
        <n v="1.7600173913043478"/>
        <n v="1.7010919540229885"/>
        <n v="1.7786666666666668"/>
        <n v="1.932251655629139"/>
        <n v="1.3303991446899501"/>
        <n v="1.9900942211055277"/>
        <n v="1.6010612855007473"/>
        <n v="1.2101362229102166"/>
        <n v="1.8315711009174314"/>
        <n v="1.4806315789473683"/>
        <n v="1.3108787878787878"/>
        <n v="1.1620689655172414"/>
        <n v="1.3904473684210525"/>
        <n v="1.5001964452759589"/>
        <n v="1.5905527950310558"/>
        <n v="1.5206651884700664"/>
        <n v="1.0204399782726779"/>
        <n v="1.4408317815021725"/>
        <n v="1.5404780361757104"/>
        <n v="1.9"/>
        <n v="1.1613924050632911"/>
        <n v="1.850577731092437"/>
        <n v="1.2603270223752152"/>
        <n v="1.1904838709677419"/>
        <n v="1.3403910614525139"/>
        <n v="1.0305474452554744"/>
        <n v="1.080023923444976"/>
        <n v="1.5303550973654065"/>
        <n v="1.5707231040564373"/>
        <n v="1.1011962833914053"/>
        <n v="1.8117728531855954"/>
        <n v="1.403873015873016"/>
        <n v="1.4557872340425533"/>
        <n v="1.1104928806133625"/>
        <n v="1.4404575163398694"/>
        <n v="1.3603470715835142"/>
        <n v="1.0004602991944764"/>
        <n v="1.1617169811320756"/>
        <n v="1.4807666941467437"/>
        <n v="1.0020215053763442"/>
        <n v="1.0203125"/>
        <n v="1.1904858299595142"/>
        <n v="1.660406852248394"/>
        <n v="1.2503085904920765"/>
        <n v="1.320848182466144"/>
        <n v="1.6026431718061676"/>
        <n v="1.2105966968566861"/>
        <n v="1.677239819004525"/>
        <n v="1.9830434782608697"/>
        <n v="1.4011764705882352"/>
        <n v="1.040145593869732"/>
        <n v="1.7320461095100863"/>
        <n v="1.150465223399355"/>
        <n v="1.5003119266055047"/>
        <n v="1.0703592814371257"/>
        <n v="1.0015311004784688"/>
        <n v="1.9102747252747254"/>
        <n v="1.13031341412453"/>
        <n v="1.62078137332281"/>
        <n v="1.140810580204778"/>
        <n v="1.2817667844522969"/>
        <n v="1.2502812037493833"/>
        <n v="1.5200191570881227"/>
        <n v="1.7604329608938547"/>
        <n v="1.2308254397834912"/>
        <n v="1.6114885496183204"/>
        <n v="1.5001541755888652"/>
        <n v="1.5007682119205297"/>
        <n v="1.5804497354497353"/>
        <n v="1.6558771929824563"/>
        <n v="1.8054597701149424"/>
        <n v="1.5251428571428574"/>
        <n v="1.9004078303425775"/>
        <n v="1.6618114874815904"/>
        <n v="1.5902764067127344"/>
        <n v="1.2009154066203513"/>
        <n v="1.4507192328183272"/>
        <n v="1.842865671641791"/>
        <n v="1.690596313697145"/>
        <n v="1.5414973958333331"/>
        <n v="1.5906042654028436"/>
        <n v="1.5208131720430107"/>
        <n v="1.9922929171668666"/>
        <n v="1.651890243902439"/>
        <n v="1.8829589371980675"/>
        <n v="1.9630026455026455"/>
        <n v="1.7142565597667638"/>
        <n v="1.4807239208633094"/>
        <n v="1.8034817813765183"/>
        <n v="1.6405522288755823"/>
        <n v="1.2501969453376205"/>
        <n v="1.5135512630014858"/>
        <n v="1.6510740291262134"/>
        <n v="1.590731209150327"/>
        <n v="1.3101728576682605"/>
        <n v="1.3927737226277372"/>
        <n v="1.2412003780718337"/>
        <n v="1.5126287978863935"/>
        <n v="1.3105208333333334"/>
        <n v="1.090721336370539"/>
        <n v="1.211637630662021"/>
        <n v="1.170493023255814"/>
        <n v="1.700589519650655"/>
        <n v="1.0906747891283974"/>
        <n v="1.5015694682675813"/>
        <n v="1.1105494505494506"/>
      </sharedItems>
    </cacheField>
    <cacheField name="CPM" numFmtId="165">
      <sharedItems containsSemiMixedTypes="0" containsString="0" containsNumber="1">
        <n v="24.47693010507081"/>
        <n v="23.629943046628554"/>
        <n v="20.904714142427284"/>
        <n v="30.779877885621154"/>
        <n v="21.023980625970676"/>
        <n v="32.57392473118279"/>
        <n v="27.87587702795423"/>
        <n v="16.699891219104963"/>
        <n v="27.879919153489478"/>
        <n v="32.74487134296792"/>
        <n v="18.099914439322152"/>
        <n v="30.7799411204187"/>
        <n v="23.279968429023963"/>
        <n v="33.67192202952558"/>
        <n v="36.989888253712905"/>
        <n v="56.999609260525546"/>
        <n v="38.975926556956445"/>
        <n v="31.439893892339548"/>
        <n v="19.304938159605673"/>
        <n v="17.48389307745031"/>
        <n v="34.93691394488573"/>
        <n v="17.359879130519545"/>
        <n v="13.129273852165419"/>
        <n v="25.687891099973307"/>
        <n v="50.633948557672"/>
        <n v="20.861886259272342"/>
        <n v="29.951797708415647"/>
        <n v="16.899878880254757"/>
        <n v="32.03968888565821"/>
        <n v="45.551952491648926"/>
        <n v="31.199924816740804"/>
        <n v="30.77990746860542"/>
        <n v="23.477776402129503"/>
        <n v="28.909876927870382"/>
        <n v="31.789295297274396"/>
        <n v="48.9499267545612"/>
        <n v="15.428912625223909"/>
        <n v="41.119897662518895"/>
        <n v="11.771984740291499"/>
        <n v="51.86989633653664"/>
        <n v="31.301974594390643"/>
        <n v="26.563954748938237"/>
        <n v="20.399888823263733"/>
        <n v="30.749989946515463"/>
        <n v="26.927890738219663"/>
        <n v="49.174898482274"/>
        <n v="25.83996463306808"/>
        <n v="32.447654749931424"/>
        <n v="27.06395179882597"/>
        <n v="43.70772411756018"/>
        <n v="26.099957073649353"/>
        <n v="17.98198321162902"/>
        <n v="23.084977908689247"/>
        <n v="17.48989218328841"/>
        <n v="35.09981546720349"/>
        <n v="17.783893244716754"/>
        <n v="36.167932386085255"/>
        <n v="50.1119935748706"/>
        <n v="18.418806268756253"/>
        <n v="25.219887252442373"/>
        <n v="44.519931049342816"/>
        <n v="31.597959276636452"/>
        <n v="24.326831305177762"/>
        <n v="42.063860933211345"/>
        <n v="27.205943944648272"/>
        <n v="24.410812107641252"/>
        <n v="26.075933681940967"/>
        <n v="38.45795225493288"/>
        <n v="36.10794388564097"/>
        <n v="29.499740085007492"/>
        <n v="22.711926964035648"/>
        <n v="26.85163731850479"/>
        <n v="19.73987221201342"/>
        <n v="12.977978589164326"/>
        <n v="34.475866212697774"/>
        <n v="49.349861836045434"/>
        <n v="26.83185156551991"/>
        <n v="29.144903849497513"/>
        <n v="18.831952208830675"/>
        <n v="44.41489526764934"/>
        <n v="34.43977350720659"/>
        <n v="21.32797669863908"/>
        <n v="19.641176470588235"/>
        <n v="46.29898323715306"/>
        <n v="25.063824564274608"/>
        <n v="16.7499691624522"/>
        <n v="31.415589213151087"/>
        <n v="53.63992461973348"/>
        <n v="16.636943335579865"/>
        <n v="17.422928525041065"/>
        <n v="24.5049581764067"/>
        <n v="36.479909950671505"/>
        <n v="18.087773149163198"/>
        <n v="41.56093466174933"/>
        <n v="39.77949225877079"/>
        <n v="29.358920640241347"/>
        <n v="44.63397073718379"/>
        <n v="46.05995612966122"/>
        <n v="15.051844749831327"/>
        <n v="22.749909416643185"/>
        <n v="35.643879173290934"/>
        <n v="21.770918557084418"/>
        <n v="35.48977812227498"/>
        <n v="18.017931275946584"/>
        <n v="41.777917537202065"/>
        <n v="17.48983560190914"/>
        <n v="20.932984425392235"/>
        <n v="26.979999790902156"/>
        <n v="34.40981093510475"/>
        <n v="29.204917654657013"/>
        <n v="40.30988767749076"/>
        <n v="43.61593486752317"/>
        <n v="24.7999903812627"/>
        <n v="20.65092298968856"/>
        <n v="45.99995583233955"/>
        <n v="22.5"/>
        <n v="38.2718006795017"/>
        <n v="13.208841463414636"/>
        <n v="27.50984791822488"/>
        <n v="34.399911621741055"/>
        <n v="25.77697103622445"/>
        <n v="18.491895103114658"/>
        <n v="37.19092252906"/>
        <n v="39.88593960376996"/>
        <n v="34.45198223985214"/>
        <n v="19.185804172207778"/>
        <n v="50.43198165033697"/>
        <n v="25.95582256753094"/>
        <n v="30.49997455600224"/>
        <n v="54.989953114534494"/>
        <n v="42.38689547581903"/>
        <n v="43.43294632340569"/>
        <n v="23.90777839955232"/>
        <n v="30.029936486103804"/>
        <n v="20.90882711392258"/>
        <n v="25.49989689304372"/>
        <n v="28.005861942630546"/>
        <n v="26.621918161869115"/>
        <n v="36.95991176605751"/>
        <n v="12.341928822878183"/>
        <n v="18.431981150242986"/>
        <n v="20.175942847649114"/>
        <n v="23.8399325129551"/>
        <n v="16.757960187673667"/>
        <n v="50.39994063960822"/>
        <n v="51.02297600343767"/>
        <n v="27.4298095703125"/>
        <n v="46.68295726317979"/>
        <n v="21.199852778800146"/>
        <n v="50.039816602316606"/>
        <n v="17.419619706136558"/>
        <n v="24.529998303583213"/>
        <n v="34.36796740322834"/>
        <n v="38.45567315352225"/>
        <n v="37.01099058975649"/>
        <n v="32.37285097611615"/>
        <n v="33.83096262859542"/>
        <n v="28.907879208608126"/>
        <n v="29.183952114122185"/>
        <n v="20.44888582586722"/>
        <n v="28.354932557524464"/>
        <n v="16.439945896179772"/>
        <n v="21.835702843412097"/>
        <n v="53.76980460210498"/>
        <n v="23.48387830722226"/>
        <n v="33.38990609431342"/>
        <n v="54.70791440543336"/>
        <n v="23.219831884883884"/>
        <n v="20.971998513195388"/>
        <n v="30.133940015380674"/>
        <n v="39.24496526559539"/>
        <n v="47.98791466608468"/>
        <n v="52.391989640423276"/>
        <n v="27.57986018936377"/>
        <n v="21.58295174357168"/>
        <n v="22.03183870201283"/>
        <n v="29.067869300667436"/>
        <n v="45.08997162433386"/>
        <n v="34.36775699086343"/>
        <n v="16.778922619459237"/>
        <n v="43.038960400903996"/>
        <n v="41.90498777684533"/>
        <n v="28.18362340848032"/>
        <n v="36.827895801719784"/>
        <n v="17.19995780089937"/>
        <n v="40.1309928057554"/>
        <n v="32.48672019765288"/>
        <n v="39.51582300719121"/>
        <n v="36.659908768373036"/>
        <n v="29.582899876342083"/>
        <n v="38.68994317203375"/>
        <n v="16.769943946453488"/>
        <n v="35.01390705108247"/>
        <n v="46.13595085470085"/>
        <n v="22.01597461567919"/>
        <n v="35.307862126754436"/>
        <n v="40.17198190884843"/>
        <n v="38.079807405513655"/>
        <n v="40.44297845080213"/>
        <n v="18.143997758789748"/>
        <n v="43.21797304686244"/>
        <n v="14.749800017776195"/>
        <n v="29.171804268161242"/>
        <n v="40.90571685124215"/>
        <n v="23.21397013843261"/>
        <n v="12.655758660360474"/>
        <n v="27.26298250485976"/>
        <n v="51.039965780811215"/>
        <n v="22.74990364341261"/>
        <n v="31.41598566835996"/>
        <n v="19.42488117379624"/>
        <n v="43.84480298540226"/>
        <n v="21.85484503726952"/>
        <n v="17.70993804026441"/>
        <n v="41.96392459181042"/>
        <n v="31.517921331005443"/>
        <n v="34.07990925132342"/>
        <n v="14.489941941287103"/>
        <n v="58.01587913358514"/>
        <n v="19.823949408404733"/>
        <n v="14.139836100794941"/>
        <n v="40.33693806417017"/>
        <n v="23.0949947713661"/>
        <n v="31.061946902654864"/>
        <n v="19.36993535463899"/>
        <n v="27.403915343915344"/>
        <n v="46.859888571961726"/>
        <n v="27.059889932016837"/>
        <n v="24.33893176635678"/>
        <n v="29.183973004855837"/>
        <n v="34.787378805919374"/>
        <n v="33.251906241174815"/>
        <n v="18.695541401273886"/>
        <n v="43.77097292208871"/>
        <n v="29.639975660326332"/>
        <n v="38.21958456973294"/>
        <n v="30.928892949460735"/>
        <n v="28.8639238442981"/>
        <n v="42.90385771973537"/>
        <n v="24.794932758748793"/>
        <n v="17.933851834393906"/>
        <n v="39.399632428017156"/>
        <n v="20.43696946113825"/>
        <n v="27.3419849912543"/>
        <n v="26.19983889865261"/>
        <n v="30.507584597432906"/>
        <n v="31.891975440242184"/>
        <n v="30.875937008517333"/>
        <n v="47.99975636496528"/>
        <n v="26.200426991007312"/>
        <n v="22.711871401745736"/>
        <n v="28.195882962195753"/>
        <n v="34.00989633898093"/>
        <n v="17.299883759812744"/>
        <n v="20.444969665388765"/>
        <n v="17.495898125310948"/>
        <n v="25.741896210622432"/>
        <n v="16.967883612407356"/>
        <n v="46.02497379062453"/>
        <n v="29.919879375591297"/>
        <n v="24.649400399733512"/>
        <n v="18.58456394538869"/>
        <n v="25.089861553014014"/>
        <n v="20.348970314084184"/>
        <n v="39.60089495525224"/>
        <n v="46.55987828732884"/>
        <n v="35.08995259982763"/>
        <n v="23.606976572315425"/>
        <n v="33.151991570658126"/>
        <n v="21.352978922947823"/>
        <n v="18.67553338875035"/>
        <n v="38.78087269257587"/>
        <n v="39.749907051679266"/>
        <n v="41.180850379518844"/>
        <n v="43.62389639467725"/>
        <n v="20.501898899947616"/>
        <n v="26.495976257062953"/>
        <n v="24.177836358106052"/>
        <n v="45.599999999999994"/>
        <n v="25.055983396143972"/>
        <n v="42.179924582510324"/>
        <n v="21.92398089791763"/>
        <n v="20.348982803579432"/>
        <n v="21.975972033523135"/>
        <n v="14.93468027714603"/>
        <n v="30.671935863755774"/>
        <n v="40.39182488813641"/>
        <n v="32.02790664221239"/>
        <n v="17.489946504334995"/>
        <n v="31.13189585415774"/>
        <n v="18.61978947368421"/>
        <n v="21.024459193706985"/>
        <n v="24.419957368402038"/>
        <n v="33.40799906716418"/>
        <n v="21.215873338069624"/>
        <n v="14.599986565459798"/>
        <n v="34.103799711975185"/>
        <n v="22.1998788762684"/>
        <n v="24.59954595850272"/>
        <n v="18.053992140134685"/>
        <n v="21.06299917624727"/>
        <n v="31.53996339231238"/>
        <n v="23.12493251268761"/>
        <n v="38.93990334103803"/>
        <n v="42.71958666040394"/>
        <n v="23.110932557642823"/>
        <n v="28.055555555555557"/>
        <n v="36.03539543335704"/>
        <n v="34.71954161640531"/>
        <n v="30.679986890729715"/>
        <n v="33.7348450830714"/>
        <n v="26.56491634847534"/>
        <n v="35.69987775061125"/>
        <n v="26.10759493670886"/>
        <n v="11.799988725407294"/>
        <n v="25.784848147736124"/>
        <n v="29.040895865319577"/>
        <n v="26.72997071265864"/>
        <n v="19.151865008880993"/>
        <n v="13.055950474202314"/>
        <n v="35.6249033582142"/>
        <n v="21.887973958979877"/>
        <n v="20.76796335656501"/>
        <n v="23.861904324671748"/>
        <n v="16.26073560562295"/>
        <n v="35.84992170629113"/>
        <n v="17.999968228248264"/>
        <n v="24.331941757458505"/>
        <n v="21.944896535689377"/>
        <n v="18.719461327612915"/>
        <n v="25.991930996104617"/>
        <n v="44.269988852857715"/>
        <n v="41.83176392081263"/>
        <n v="41.975871593100216"/>
        <n v="29.39992396502391"/>
        <n v="29.289963105187866"/>
        <n v="21.343843454510882"/>
        <n v="44.10888895175054"/>
        <n v="15.553905983130566"/>
        <n v="47.381851551194714"/>
        <n v="31.615882196795056"/>
        <n v="31.043977627714696"/>
        <n v="38.115002040041084"/>
        <n v="35.155813114458375"/>
        <n v="23.127980550447276"/>
        <n v="17.099691735008435"/>
        <n v="29.895962887983078"/>
        <n v="53.81901655189079"/>
        <n v="45.591960505149494"/>
        <n v="34.124958859023586"/>
        <n v="21.894976678202177"/>
        <n v="27.720025672633174"/>
        <n v="46.586950279944496"/>
        <n v="34.19099721662348"/>
        <n v="15.289875395648863"/>
        <n v="19.59195548062721"/>
        <n v="16.156961239435027"/>
        <n v="28.29593162734906"/>
        <n v="13.189000596795665"/>
        <n v="21.900743166645672"/>
        <n v="26.44195307492671"/>
        <n v="38.92987454390963"/>
        <n v="19.51094792609731"/>
        <n v="36.59991220185212"/>
        <n v="27.30582606248241"/>
      </sharedItems>
    </cacheField>
    <cacheField name="Spend" numFmtId="165">
      <sharedItems containsSemiMixedTypes="0" containsString="0" containsNumber="1">
        <n v="642.96"/>
        <n v="2194.82"/>
        <n v="312.63"/>
        <n v="1265.33"/>
        <n v="798.68"/>
        <n v="1987.27"/>
        <n v="1259.46"/>
        <n v="660.13"/>
        <n v="2344.98"/>
        <n v="2322.43"/>
        <n v="1417.35"/>
        <n v="2164.23"/>
        <n v="2182.66"/>
        <n v="2349.29"/>
        <n v="2575.31"/>
        <n v="1167.01"/>
        <n v="3888.94"/>
        <n v="1943.74"/>
        <n v="1276.79"/>
        <n v="1275.45"/>
        <n v="2436.71"/>
        <n v="712.38"/>
        <n v="161.28"/>
        <n v="1732.34"/>
        <n v="2397.72"/>
        <n v="590.6"/>
        <n v="758.08"/>
        <n v="1241.82"/>
        <n v="881.54"/>
        <n v="2331.85"/>
        <n v="2489.91"/>
        <n v="3027.05"/>
        <n v="758.52"/>
        <n v="742.29"/>
        <n v="450.2"/>
        <n v="3675.65"/>
        <n v="1395.36"/>
        <n v="3535.9"/>
        <n v="962.76"/>
        <n v="3017.22"/>
        <n v="1244.41"/>
        <n v="2082.8"/>
        <n v="1761.51"/>
        <n v="764.66"/>
        <n v="2452.7"/>
        <n v="3415.0"/>
        <n v="350.7"/>
        <n v="354.88"/>
        <n v="1396.96"/>
        <n v="1183.78"/>
        <n v="2128.06"/>
        <n v="1580.94"/>
        <n v="1567.47"/>
        <n v="1505.39"/>
        <n v="627.69"/>
        <n v="1027.5"/>
        <n v="2952.75"/>
        <n v="2246.22"/>
        <n v="276.19"/>
        <n v="1708.95"/>
        <n v="2066.17"/>
        <n v="693.67"/>
        <n v="815.63"/>
        <n v="2298.79"/>
        <n v="1623.95"/>
        <n v="610.49"/>
        <n v="2104.38"/>
        <n v="2804.7"/>
        <n v="2983.13"/>
        <n v="964.73"/>
        <n v="2092.2"/>
        <n v="695.35"/>
        <n v="1170.91"/>
        <n v="318.83"/>
        <n v="860.69"/>
        <n v="2571.72"/>
        <n v="1041.21"/>
        <n v="838.12"/>
        <n v="1620.32"/>
        <n v="1431.27"/>
        <n v="1204.29"/>
        <n v="2123.52"/>
        <n v="200.34"/>
        <n v="3369.64"/>
        <n v="612.61"/>
        <n v="1357.92"/>
        <n v="425.21"/>
        <n v="3984.91"/>
        <n v="962.73"/>
        <n v="912.16"/>
        <n v="1737.23"/>
        <n v="3305.7"/>
        <n v="494.99"/>
        <n v="3020.15"/>
        <n v="763.09"/>
        <n v="2802.72"/>
        <n v="3657.62"/>
        <n v="3779.68"/>
        <n v="847.75"/>
        <n v="1130.17"/>
        <n v="2600.72"/>
        <n v="2048.97"/>
        <n v="732.58"/>
        <n v="1440.93"/>
        <n v="3919.27"/>
        <n v="395.76"/>
        <n v="1823.87"/>
        <n v="2580.61"/>
        <n v="740.74"/>
        <n v="1266.15"/>
        <n v="3423.68"/>
        <n v="3707.18"/>
        <n v="2062.64"/>
        <n v="1966.67"/>
        <n v="2082.97"/>
        <n v="1734.3"/>
        <n v="1013.82"/>
        <n v="831.84"/>
        <n v="1103.42"/>
        <n v="2335.41"/>
        <n v="326.62"/>
        <n v="1743.12"/>
        <n v="2214.05"/>
        <n v="2073.67"/>
        <n v="3057.2"/>
        <n v="966.6"/>
        <n v="3561.91"/>
        <n v="574.61"/>
        <n v="2397.42"/>
        <n v="3776.6"/>
        <n v="461.89"/>
        <n v="1290.61"/>
        <n v="1068.08"/>
        <n v="2969.24"/>
        <n v="360.28"/>
        <n v="1483.89"/>
        <n v="1299.5"/>
        <n v="2474.88"/>
        <n v="2412.78"/>
        <n v="992.18"/>
        <n v="1627.12"/>
        <n v="1214.39"/>
        <n v="1780.39"/>
        <n v="1471.55"/>
        <n v="3396.2"/>
        <n v="3799.63"/>
        <n v="898.82"/>
        <n v="3591.6"/>
        <n v="1267.2"/>
        <n v="2073.65"/>
        <n v="403.09"/>
        <n v="1301.39"/>
        <n v="3289.53"/>
        <n v="1013.73"/>
        <n v="2060.92"/>
        <n v="2167.33"/>
        <n v="2578.19"/>
        <n v="2082.09"/>
        <n v="2671.82"/>
        <n v="890.14"/>
        <n v="2465.83"/>
        <n v="1446.37"/>
        <n v="436.19"/>
        <n v="2385.82"/>
        <n v="1445.01"/>
        <n v="2620.54"/>
        <n v="5131.11"/>
        <n v="651.92"/>
        <n v="677.06"/>
        <n v="1410.63"/>
        <n v="2237.12"/>
        <n v="3518.09"/>
        <n v="4005.42"/>
        <n v="1870.08"/>
        <n v="1531.85"/>
        <n v="649.08"/>
        <n v="2168.87"/>
        <n v="1303.01"/>
        <n v="868.92"/>
        <n v="485.28"/>
        <n v="1752.03"/>
        <n v="3445.47"/>
        <n v="723.84"/>
        <n v="2329.88"/>
        <n v="1304.29"/>
        <n v="3486.38"/>
        <n v="788.94"/>
        <n v="1686.97"/>
        <n v="2676.21"/>
        <n v="1507.16"/>
        <n v="1797.38"/>
        <n v="1418.1"/>
        <n v="3373.73"/>
        <n v="1727.33"/>
        <n v="1207.29"/>
        <n v="2191.1"/>
        <n v="3464.03"/>
        <n v="1787.39"/>
        <n v="2967.18"/>
        <n v="518.12"/>
        <n v="1343.69"/>
        <n v="331.9"/>
        <n v="676.64"/>
        <n v="683.33"/>
        <n v="2049.19"/>
        <n v="495.03"/>
        <n v="490.87"/>
        <n v="2744.47"/>
        <n v="2006.86"/>
        <n v="1280.17"/>
        <n v="939.97"/>
        <n v="1597.88"/>
        <n v="1114.16"/>
        <n v="940.38"/>
        <n v="3091.86"/>
        <n v="1227.56"/>
        <n v="1351.95"/>
        <n v="708.79"/>
        <n v="3763.2"/>
        <n v="1943.54"/>
        <n v="460.69"/>
        <n v="2256.65"/>
        <n v="1943.49"/>
        <n v="537.03"/>
        <n v="1063.7"/>
        <n v="2589.67"/>
        <n v="3515.71"/>
        <n v="835.88"/>
        <n v="2220.1"/>
        <n v="2127.57"/>
        <n v="409.03"/>
        <n v="470.98"/>
        <n v="220.14"/>
        <n v="2371.38"/>
        <n v="2630.37"/>
        <n v="914.48"/>
        <n v="2775.93"/>
        <n v="2213.43"/>
        <n v="2496.79"/>
        <n v="667.43"/>
        <n v="913.12"/>
        <n v="578.82"/>
        <n v="1418.06"/>
        <n v="2422.91"/>
        <n v="1431.14"/>
        <n v="679.77"/>
        <n v="2991.85"/>
        <n v="3023.31"/>
        <n v="1576.12"/>
        <n v="404.98"/>
        <n v="1100.64"/>
        <n v="435.57"/>
        <n v="2171.94"/>
        <n v="1086.45"/>
        <n v="1098.59"/>
        <n v="1652.82"/>
        <n v="2029.8"/>
        <n v="927.21"/>
        <n v="2458.47"/>
        <n v="1012.01"/>
        <n v="295.99"/>
        <n v="266.8"/>
        <n v="291.77"/>
        <n v="1866.55"/>
        <n v="3168.23"/>
        <n v="1071.11"/>
        <n v="1954.37"/>
        <n v="1597.13"/>
        <n v="2391.22"/>
        <n v="865.18"/>
        <n v="269.6"/>
        <n v="1056.74"/>
        <n v="1603.71"/>
        <n v="2560.79"/>
        <n v="3429.1"/>
        <n v="1878.63"/>
        <n v="2321.18"/>
        <n v="1192.33"/>
        <n v="2456.7"/>
        <n v="458.75"/>
        <n v="3523.5"/>
        <n v="1464.5"/>
        <n v="1771.44"/>
        <n v="1439.58"/>
        <n v="282.37"/>
        <n v="2708.7"/>
        <n v="1336.0"/>
        <n v="1781.2"/>
        <n v="948.13"/>
        <n v="1308.1"/>
        <n v="442.22"/>
        <n v="342.11"/>
        <n v="2027.76"/>
        <n v="2865.07"/>
        <n v="1254.24"/>
        <n v="869.4"/>
        <n v="615.71"/>
        <n v="1796.17"/>
        <n v="465.94"/>
        <n v="914.2"/>
        <n v="1176.2"/>
        <n v="3101.64"/>
        <n v="1499.12"/>
        <n v="1853.15"/>
        <n v="727.6"/>
        <n v="2272.29"/>
        <n v="370.67"/>
        <n v="456.1"/>
        <n v="690.78"/>
        <n v="2714.78"/>
        <n v="1202.04"/>
        <n v="2497.66"/>
        <n v="2453.01"/>
        <n v="536.25"/>
        <n v="418.64"/>
        <n v="1390.68"/>
        <n v="2704.84"/>
        <n v="2053.53"/>
        <n v="1337.03"/>
        <n v="725.48"/>
        <n v="2534.32"/>
        <n v="1586.9"/>
        <n v="1260.47"/>
        <n v="1819.16"/>
        <n v="422.21"/>
        <n v="3502.86"/>
        <n v="1133.08"/>
        <n v="1194.82"/>
        <n v="377.54"/>
        <n v="314.15"/>
        <n v="373.66"/>
        <n v="3494.85"/>
        <n v="1128.37"/>
        <n v="1610.95"/>
        <n v="2938.64"/>
        <n v="2723.0"/>
        <n v="1234.72"/>
        <n v="4677.88"/>
        <n v="1183.87"/>
        <n v="2684.94"/>
        <n v="2262.97"/>
        <n v="3319.16"/>
        <n v="2709.1"/>
        <n v="1559.09"/>
        <n v="1484.03"/>
        <n v="587.99"/>
        <n v="3293.13"/>
        <n v="1336.38"/>
        <n v="4931.5"/>
        <n v="3110.49"/>
        <n v="1018.62"/>
        <n v="2720.97"/>
        <n v="3894.11"/>
        <n v="3562.36"/>
        <n v="381.62"/>
        <n v="1313.19"/>
        <n v="1145.06"/>
        <n v="2264.58"/>
        <n v="1436.48"/>
        <n v="695.48"/>
        <n v="2516.56"/>
        <n v="3894.35"/>
        <n v="1163.75"/>
        <n v="1750.83"/>
        <n v="2425.44"/>
      </sharedItems>
    </cacheField>
    <cacheField name="Conversion rate" numFmtId="10">
      <sharedItems containsSemiMixedTypes="0" containsString="0" containsNumber="1">
        <n v="0.017241379310344827"/>
        <n v="0.023432552248258392"/>
        <n v="0.021739130434782608"/>
        <n v="0.018518518518518517"/>
        <n v="0.023465703971119134"/>
        <n v="0.014746543778801843"/>
        <n v="0.02086677367576244"/>
        <n v="0.02278481012658228"/>
        <n v="0.018561484918793503"/>
        <n v="0.012195121951219513"/>
        <n v="0.021711366538952746"/>
        <n v="0.012648221343873518"/>
        <n v="0.01485148514851485"/>
        <n v="0.02037617554858934"/>
        <n v="0.013304949441192123"/>
        <n v="0.018867924528301886"/>
        <n v="0.02371364653243848"/>
        <n v="0.013588634959851761"/>
        <n v="0.02328589909443726"/>
        <n v="0.01556420233463035"/>
        <n v="0.01784534038334435"/>
        <n v="0.01968503937007874"/>
        <n v="0.021071115013169446"/>
        <n v="0.022672064777327937"/>
        <n v="0.018633540372670808"/>
        <n v="0.017766497461928935"/>
        <n v="0.02452316076294278"/>
        <n v="0.017711171662125342"/>
        <n v="0.01673360107095047"/>
        <n v="0.018796992481203006"/>
        <n v="0.02071563088512241"/>
        <n v="0.019230769230769232"/>
        <n v="0.02384737678855326"/>
        <n v="0.017114914425427872"/>
        <n v="0.015988372093023256"/>
        <n v="0.019940179461615155"/>
        <n v="0.01765504753282028"/>
        <n v="0.017957351290684626"/>
        <n v="0.014221073044602456"/>
        <n v="0.024977698483496878"/>
        <n v="0.015598885793871866"/>
        <n v="0.01590005678591709"/>
        <n v="0.023575638506876228"/>
        <n v="0.020521353300055462"/>
        <n v="0.012813941568426449"/>
        <n v="0.016304347826086956"/>
        <n v="0.012838801711840228"/>
        <n v="0.01824212271973466"/>
        <n v="0.022894521668029435"/>
        <n v="0.014358974358974359"/>
        <n v="0.016375545851528384"/>
        <n v="0.024312896405919663"/>
        <n v="0.012448132780082987"/>
        <n v="0.017758046614872364"/>
        <n v="0.016241299303944315"/>
        <n v="0.012403100775193798"/>
        <n v="0.011834319526627219"/>
        <n v="0.02207001522070015"/>
        <n v="0.01770592763664357"/>
        <n v="0.022887323943661973"/>
        <n v="0.01953125"/>
        <n v="0.022970903522205207"/>
        <n v="0.015026296018031555"/>
        <n v="0.016891891891891893"/>
        <n v="0.02367758186397985"/>
        <n v="0.022455805064500716"/>
        <n v="0.020010261672652643"/>
        <n v="0.012239902080783354"/>
        <n v="0.017555266579973992"/>
        <n v="0.01972386587771203"/>
        <n v="0.012861736334405145"/>
        <n v="0.016181229773462782"/>
        <n v="0.01768172888015717"/>
        <n v="0.02450646698434309"/>
        <n v="0.014992503748125937"/>
        <n v="0.02249134948096886"/>
        <n v="0.02391304347826087"/>
        <n v="0.018494055482166448"/>
        <n v="0.014955134596211365"/>
        <n v="0.016939252336448597"/>
        <n v="0.008064516129032258"/>
        <n v="0.01683867463335144"/>
        <n v="0.022071307300509338"/>
        <n v="0.019337016574585635"/>
        <n v="0.016025641025641024"/>
        <n v="0.0149118843199277"/>
        <n v="0.0158311345646438"/>
        <n v="0.020114942528735632"/>
        <n v="0.020868113522537562"/>
        <n v="0.024151811385853938"/>
        <n v="0.021538461538461538"/>
        <n v="0.023480662983425413"/>
        <n v="0.015625"/>
        <n v="0.017927170868347338"/>
        <n v="0.02034058656575213"/>
        <n v="0.01504149377593361"/>
        <n v="0.020100502512562814"/>
        <n v="0.01380897583429229"/>
        <n v="0.018925831202046037"/>
        <n v="0.012612612612612612"/>
        <n v="0.013856812933025405"/>
        <n v="0.020854021847070508"/>
        <n v="0.01819100555836281"/>
        <n v="0.022284122562674095"/>
        <n v="0.018975332068311195"/>
        <n v="0.02476609796367639"/>
        <n v="0.010050251256281407"/>
        <n v="0.023776223776223775"/>
        <n v="0.023718763235916984"/>
        <n v="0.0136986301369863"/>
        <n v="0.019398642095053348"/>
        <n v="0.02453385672227674"/>
        <n v="0.024015369836695485"/>
        <n v="0.020768431983385256"/>
        <n v="0.016363636363636365"/>
        <n v="0.01859799713876967"/>
        <n v="0.017814726840855107"/>
        <n v="0.018422991893883568"/>
        <n v="0.0182648401826484"/>
        <n v="0.018461538461538463"/>
        <n v="0.019636363636363636"/>
        <n v="0.020802377414561663"/>
        <n v="0.024473534433693798"/>
        <n v="0.018660812294182216"/>
        <n v="0.014380530973451327"/>
        <n v="0.013157894736842105"/>
        <n v="0.022900763358778626"/>
        <n v="0.02066115702479339"/>
        <n v="0.014416775884665793"/>
        <n v="0.016927083333333332"/>
        <n v="0.013140604467805518"/>
        <n v="0.022922636103151862"/>
        <n v="0.02443133951137321"/>
        <n v="0.015479876160990712"/>
        <n v="0.02390998593530239"/>
        <n v="0.022988505747126436"/>
        <n v="0.013431013431013432"/>
        <n v="0.022143489813994686"/>
        <n v="0.0224"/>
        <n v="0.0170863309352518"/>
        <n v="0.016983016983016984"/>
        <n v="0.013785790031813362"/>
        <n v="0.021265560165975105"/>
        <n v="0.013024602026049204"/>
        <n v="0.021904761904761906"/>
        <n v="0.02367797947908445"/>
        <n v="0.017361111111111112"/>
        <n v="0.012903225806451613"/>
        <n v="0.0169061707523246"/>
        <n v="0.02276707530647986"/>
        <n v="0.023636363636363636"/>
        <n v="0.02461033634126333"/>
        <n v="0.02012072434607646"/>
        <n v="0.020527859237536656"/>
        <n v="0.02219403931515536"/>
        <n v="0.016770483948251078"/>
        <n v="0.013020833333333334"/>
        <n v="0.018912529550827423"/>
        <n v="0.02390438247011952"/>
        <n v="0.016574585635359115"/>
        <n v="0.024531024531024532"/>
        <n v="0.016123122022718945"/>
        <n v="0.011881188118811881"/>
        <n v="0.017391304347826087"/>
        <n v="0.01384083044982699"/>
        <n v="0.02389843166542196"/>
        <n v="0.019559902200488997"/>
        <n v="0.016799292661361626"/>
        <n v="0.02423603793466807"/>
        <n v="0.0199501246882793"/>
        <n v="0.017777777777777778"/>
        <n v="0.02260327357755261"/>
        <n v="0.018556701030927835"/>
        <n v="0.022113022113022112"/>
        <n v="0.017640573318632856"/>
        <n v="0.01893939393939394"/>
        <n v="0.012779552715654952"/>
        <n v="0.013803680981595092"/>
        <n v="0.012652889076339097"/>
        <n v="0.013059701492537313"/>
        <n v="0.0228270412642669"/>
        <n v="0.02178496134926212"/>
        <n v="0.02043132803632236"/>
        <n v="0.01380991064175467"/>
        <n v="0.015596330275229359"/>
        <n v="0.020128087831655993"/>
        <n v="0.018544935805991442"/>
        <n v="0.018600531443755536"/>
        <n v="0.02348993288590604"/>
        <n v="0.01567398119122257"/>
        <n v="0.012954966070326958"/>
        <n v="0.021645021645021644"/>
        <n v="0.014223194748358862"/>
        <n v="0.022641509433962263"/>
        <n v="0.013850415512465374"/>
        <n v="0.01856763925729443"/>
        <n v="0.016554578375581996"/>
        <n v="0.018140589569160998"/>
        <n v="0.0223463687150838"/>
        <n v="0.012187299550994226"/>
        <n v="0.017452006980802792"/>
        <n v="0.016511867905056758"/>
        <n v="0.016548463356973995"/>
        <n v="0.01853997682502897"/>
        <n v="0.016455696202531647"/>
        <n v="0.02224824355971897"/>
        <n v="0.02170620898536093"/>
        <n v="0.017456359102244388"/>
        <n v="0.018957345971563982"/>
        <n v="0.021103896103896104"/>
        <n v="0.023958333333333335"/>
        <n v="0.021250758955676987"/>
        <n v="0.0243161094224924"/>
        <n v="0.01283147989734816"/>
        <n v="0.020833333333333332"/>
        <n v="0.012622720897615708"/>
        <n v="0.01867816091954023"/>
        <n v="0.012206572769953052"/>
        <n v="0.011857707509881422"/>
        <n v="0.020610057708161583"/>
        <n v="0.024303073624017155"/>
        <n v="0.019083969465648856"/>
        <n v="0.013888888888888888"/>
        <n v="0.015544041450777202"/>
        <n v="0.012829650748396294"/>
        <n v="0.014737754659731253"/>
        <n v="0.021337126600284494"/>
        <n v="0.017033356990773598"/>
        <n v="0.01988862370723946"/>
        <n v="0.017325017325017324"/>
        <n v="0.010256410256410256"/>
        <n v="0.020933977455716585"/>
        <n v="0.01730103806228374"/>
        <n v="0.015849056603773583"/>
        <n v="0.02304147465437788"/>
        <n v="0.016771488469601678"/>
        <n v="0.011945392491467578"/>
        <n v="0.02028639618138425"/>
        <n v="0.01757276221856123"/>
        <n v="0.013414634146341463"/>
        <n v="0.00975609756097561"/>
        <n v="0.02276176024279211"/>
        <n v="0.016488046166529265"/>
        <n v="0.02388535031847134"/>
        <n v="0.01540436456996149"/>
        <n v="0.02287581699346405"/>
        <n v="0.022850270595309682"/>
        <n v="0.014519056261343012"/>
        <n v="0.014245014245014245"/>
        <n v="0.019130434782608695"/>
        <n v="0.013333333333333334"/>
        <n v="0.019867549668874173"/>
        <n v="0.01781895937277263"/>
        <n v="0.019472361809045227"/>
        <n v="0.014947683109118086"/>
        <n v="0.023529411764705882"/>
        <n v="0.014908256880733946"/>
        <n v="0.021212121212121213"/>
        <n v="0.021551724137931036"/>
        <n v="0.01683816651075772"/>
        <n v="0.020496894409937887"/>
        <n v="0.021729490022172948"/>
        <n v="0.021184139054861488"/>
        <n v="0.022967101179391682"/>
        <n v="0.020671834625323"/>
        <n v="0.017014694508894045"/>
        <n v="0.012658227848101266"/>
        <n v="0.02100840336134454"/>
        <n v="0.012048192771084338"/>
        <n v="0.024193548387096774"/>
        <n v="0.01675977653631285"/>
        <n v="0.010948905109489052"/>
        <n v="0.019537480063795853"/>
        <n v="0.018327605956471937"/>
        <n v="0.021164021164021163"/>
        <n v="0.017421602787456445"/>
        <n v="0.015235457063711912"/>
        <n v="0.022222222222222223"/>
        <n v="0.01276595744680851"/>
        <n v="0.019715224534501644"/>
        <n v="0.01860231271995978"/>
        <n v="0.015184381778741865"/>
        <n v="0.020713463751438434"/>
        <n v="0.020754716981132074"/>
        <n v="0.02225886232481451"/>
        <n v="0.017204301075268817"/>
        <n v="0.016741071428571428"/>
        <n v="0.02125506072874494"/>
        <n v="0.016595289079229122"/>
        <n v="0.01834862385321101"/>
        <n v="0.021382751247327157"/>
        <n v="0.01762114537444934"/>
        <n v="0.013851891315929675"/>
        <n v="0.01809954751131222"/>
        <n v="0.02231237322515213"/>
        <n v="0.022605363984674328"/>
        <n v="0.01729106628242075"/>
        <n v="0.023952095808383235"/>
        <n v="0.023853211009174313"/>
        <n v="0.01996007984031936"/>
        <n v="0.023923444976076555"/>
        <n v="0.020604395604395604"/>
        <n v="0.012536564981195153"/>
        <n v="0.01499605367008682"/>
        <n v="0.015358361774744027"/>
        <n v="0.02120141342756184"/>
        <n v="0.0246669955599408"/>
        <n v="0.022030651340996167"/>
        <n v="0.015363128491620111"/>
        <n v="0.023004059539918808"/>
        <n v="0.014561027837259101"/>
        <n v="0.011920529801324504"/>
        <n v="0.013227513227513227"/>
        <n v="0.012244897959183673"/>
        <n v="0.013050570962479609"/>
        <n v="0.014727540500736377"/>
        <n v="0.017769002961500493"/>
        <n v="0.012668573763792398"/>
        <n v="0.018114011720831113"/>
        <n v="0.01791044776119403"/>
        <n v="0.022406938923021324"/>
        <n v="0.024739583333333332"/>
        <n v="0.013625592417061612"/>
        <n v="0.020161290322580645"/>
        <n v="0.01920768307322929"/>
        <n v="0.022560975609756097"/>
        <n v="0.014492753623188406"/>
        <n v="0.011904761904761904"/>
        <n v="0.011661807580174927"/>
        <n v="0.022482014388489208"/>
        <n v="0.014844804318488529"/>
        <n v="0.019627411842980707"/>
        <n v="0.021704180064308683"/>
        <n v="0.01337295690936107"/>
        <n v="0.019417475728155338"/>
        <n v="0.014705882352941176"/>
        <n v="0.01250459727841118"/>
        <n v="0.014598540145985401"/>
        <n v="0.014177693761814745"/>
        <n v="0.022457067371202115"/>
        <n v="0.017939814814814815"/>
        <n v="0.017463933181473046"/>
        <n v="0.013937282229965157"/>
        <n v="0.013488372093023256"/>
        <n v="0.01703056768558952"/>
        <n v="0.013120899718837863"/>
        <n v="0.018010291595197257"/>
        <n v="0.0173992673992674"/>
      </sharedItems>
    </cacheField>
    <cacheField name="Conversions" numFmtId="0">
      <sharedItems containsSemiMixedTypes="0" containsString="0" containsNumber="1" containsInteger="1">
        <n v="9.0"/>
        <n v="37.0"/>
        <n v="6.0"/>
        <n v="13.0"/>
        <n v="16.0"/>
        <n v="26.0"/>
        <n v="32.0"/>
        <n v="17.0"/>
        <n v="27.0"/>
        <n v="25.0"/>
        <n v="11.0"/>
        <n v="53.0"/>
        <n v="22.0"/>
        <n v="18.0"/>
        <n v="10.0"/>
        <n v="3.0"/>
        <n v="24.0"/>
        <n v="28.0"/>
        <n v="7.0"/>
        <n v="30.0"/>
        <n v="55.0"/>
        <n v="8.0"/>
        <n v="15.0"/>
        <n v="33.0"/>
        <n v="20.0"/>
        <n v="39.0"/>
        <n v="12.0"/>
        <n v="4.0"/>
        <n v="14.0"/>
        <n v="23.0"/>
        <n v="35.0"/>
        <n v="2.0"/>
        <n v="29.0"/>
        <n v="47.0"/>
        <n v="5.0"/>
        <n v="36.0"/>
        <n v="1.0"/>
        <n v="31.0"/>
        <n v="21.0"/>
        <n v="42.0"/>
        <n v="51.0"/>
        <n v="43.0"/>
        <n v="45.0"/>
        <n v="56.0"/>
        <n v="40.0"/>
        <n v="34.0"/>
        <n v="19.0"/>
        <n v="41.0"/>
        <n v="46.0"/>
        <n v="44.0"/>
        <n v="38.0"/>
        <n v="63.0"/>
        <n v="49.0"/>
        <n v="59.0"/>
        <n v="52.0"/>
        <n v="50.0"/>
        <n v="62.0"/>
        <n v="54.0"/>
      </sharedItems>
    </cacheField>
    <cacheField name="Avg. conversion value" numFmtId="165">
      <sharedItems containsSemiMixedTypes="0" containsString="0" containsNumber="1">
        <n v="153.89222222222222"/>
        <n v="148.91351351351352"/>
        <n v="116.69833333333334"/>
        <n v="209.85076923076923"/>
        <n v="211.40692307692308"/>
        <n v="183.449375"/>
        <n v="199.42346153846154"/>
        <n v="159.2888888888889"/>
        <n v="191.4246875"/>
        <n v="193.741875"/>
        <n v="185.65235294117647"/>
        <n v="194.40125"/>
        <n v="133.25703703703704"/>
        <n v="136.12538461538463"/>
        <n v="106.0052"/>
        <n v="133.09272727272727"/>
        <n v="161.93396226415095"/>
        <n v="151.5681818181818"/>
        <n v="137.32611111111112"/>
        <n v="202.38875"/>
        <n v="157.11111111111111"/>
        <n v="120.5"/>
        <n v="172.74333333333334"/>
        <n v="193.29333333333332"/>
        <n v="179.6967857142857"/>
        <n v="160.93666666666667"/>
        <n v="185.81"/>
        <n v="174.73777777777778"/>
        <n v="208.17538461538464"/>
        <n v="132.91559999999998"/>
        <n v="163.079"/>
        <n v="137.88327272727273"/>
        <n v="193.72125"/>
        <n v="155.37800000000001"/>
        <n v="141.61142857142858"/>
        <n v="202.16727272727275"/>
        <n v="118.62650000000001"/>
        <n v="160.26051282051282"/>
        <n v="190.596875"/>
        <n v="119.50727272727272"/>
        <n v="197.19178571428571"/>
        <n v="199.0717857142857"/>
        <n v="169.20035714285714"/>
        <n v="162.41416666666666"/>
        <n v="188.57405405405405"/>
        <n v="184.6836"/>
        <n v="176.9475"/>
        <n v="243.1"/>
        <n v="199.83333333333334"/>
        <n v="123.30909090909091"/>
        <n v="158.42535714285714"/>
        <n v="108.89571428571428"/>
        <n v="148.222"/>
        <n v="191.67608695652174"/>
        <n v="115.23"/>
        <n v="119.650625"/>
        <n v="162.59542857142858"/>
        <n v="201.385"/>
        <n v="190.54"/>
        <n v="151.9296551724138"/>
        <n v="160.68347826086955"/>
        <n v="188.28846153846155"/>
        <n v="204.678"/>
        <n v="110.57300000000001"/>
        <n v="201.317"/>
        <n v="113.09"/>
        <n v="103.54659574468084"/>
        <n v="147.59212765957446"/>
        <n v="189.78179487179486"/>
        <n v="189.53"/>
        <n v="183.5125925925926"/>
        <n v="128.54500000000002"/>
        <n v="124.44125"/>
        <n v="191.892"/>
        <n v="114.56666666666666"/>
        <n v="193.0225"/>
        <n v="106.79100000000001"/>
        <n v="190.01153846153846"/>
        <n v="185.07363636363635"/>
        <n v="109.51428571428572"/>
        <n v="146.804"/>
        <n v="139.35172413793103"/>
        <n v="203.21"/>
        <n v="122.9"/>
        <n v="109.4276923076923"/>
        <n v="127.38619047619048"/>
        <n v="199.852"/>
        <n v="170.38545454545456"/>
        <n v="111.87666666666667"/>
        <n v="117.36785714285715"/>
        <n v="105.13959999999999"/>
        <n v="108.45880952380953"/>
        <n v="117.36571428571428"/>
        <n v="127.22235294117647"/>
        <n v="103.34571428571428"/>
        <n v="154.998125"/>
        <n v="151.64953488372095"/>
        <n v="194.0644827586207"/>
        <n v="110.20833333333333"/>
        <n v="146.0175"/>
        <n v="191.72783783783785"/>
        <n v="112.83238095238096"/>
        <n v="151.17666666666665"/>
        <n v="156.65571428571428"/>
        <n v="169.0436111111111"/>
        <n v="163.73875"/>
        <n v="177.93800000000002"/>
        <n v="137.76577777777777"/>
        <n v="181.7025"/>
        <n v="192.53588235294117"/>
        <n v="178.62214285714285"/>
        <n v="170.94259259259258"/>
        <n v="150.5935"/>
        <n v="155.4184"/>
        <n v="180.0728"/>
        <n v="174.5815"/>
        <n v="134.14777777777778"/>
        <n v="175.29615384615383"/>
        <n v="134.69066666666666"/>
        <n v="132.63"/>
        <n v="147.965"/>
        <n v="112.08916666666666"/>
        <n v="131.04037037037037"/>
        <n v="165.62464285714285"/>
        <n v="168.8939534883721"/>
        <n v="161.69529411764708"/>
        <n v="115.27192307692309"/>
        <n v="163.32333333333335"/>
        <n v="151.31266666666667"/>
        <n v="145.3265"/>
        <n v="111.945"/>
        <n v="214.44000000000003"/>
        <n v="133.43769230769232"/>
        <n v="106.3905"/>
        <n v="115.08125"/>
        <n v="161.69344827586207"/>
        <n v="130.33866666666665"/>
        <n v="169.76588235294116"/>
        <n v="158.5197619047619"/>
        <n v="107.76090909090908"/>
        <n v="184.2624"/>
        <n v="152.86357142857145"/>
        <n v="174.2563157894737"/>
        <n v="151.4835294117647"/>
        <n v="138.13423076923075"/>
        <n v="155.03365853658536"/>
        <n v="190.82777777777778"/>
        <n v="181.81739130434784"/>
        <n v="127.777"/>
        <n v="192.75799999999998"/>
        <n v="164.1225"/>
        <n v="135.0665"/>
        <n v="109.17666666666668"/>
        <n v="192.33923076923077"/>
        <n v="110.89133333333332"/>
        <n v="126.97825"/>
        <n v="108.96428571428571"/>
        <n v="198.872"/>
        <n v="191.72714285714287"/>
        <n v="140.71125"/>
        <n v="135.882"/>
        <n v="184.55733333333333"/>
        <n v="183.88"/>
        <n v="160.629"/>
        <n v="175.43"/>
        <n v="179.29509803921567"/>
        <n v="157.68022727272728"/>
        <n v="199.92333333333332"/>
        <n v="146.535"/>
        <n v="183.41125"/>
        <n v="175.5453125"/>
        <n v="166.21475"/>
        <n v="158.85894736842107"/>
        <n v="163.40478260869565"/>
        <n v="138.0325"/>
        <n v="189.49125"/>
        <n v="146.81655172413795"/>
        <n v="154.45733333333334"/>
        <n v="166.16444444444446"/>
        <n v="152.24555555555557"/>
        <n v="154.653125"/>
        <n v="191.59466666666668"/>
        <n v="180.4257142857143"/>
        <n v="149.735625"/>
        <n v="188.29666666666668"/>
        <n v="145.93800000000002"/>
        <n v="124.76"/>
        <n v="167.9303846153846"/>
        <n v="108.05903225806452"/>
        <n v="102.88666666666667"/>
        <n v="125.13588235294117"/>
        <n v="178.7258823529412"/>
        <n v="153.79349206349207"/>
        <n v="198.69272727272727"/>
        <n v="201.09846153846155"/>
        <n v="173.99238095238096"/>
        <n v="141.7126530612245"/>
        <n v="193.4285"/>
        <n v="116.31714285714285"/>
        <n v="137.82"/>
        <n v="164.89923076923077"/>
        <n v="142.03333333333333"/>
        <n v="117.53399999999999"/>
        <n v="219.98285714285717"/>
        <n v="121.3446875"/>
        <n v="188.955"/>
        <n v="135.375"/>
        <n v="144.77421052631578"/>
        <n v="117.006"/>
        <n v="175.12"/>
        <n v="165.24"/>
        <n v="191.649375"/>
        <n v="170.53538461538463"/>
        <n v="116.4321052631579"/>
        <n v="139.16162790697675"/>
        <n v="137.82857142857142"/>
        <n v="125.731875"/>
        <n v="148.47692307692307"/>
        <n v="162.95"/>
        <n v="124.29285714285714"/>
        <n v="132.0175"/>
        <n v="160.32000000000002"/>
        <n v="109.825"/>
        <n v="200.60666666666668"/>
        <n v="119.93444444444445"/>
        <n v="204.56102564102565"/>
        <n v="135.22"/>
        <n v="167.51444444444445"/>
        <n v="140.5728"/>
        <n v="145.2414705882353"/>
        <n v="145.208"/>
        <n v="157.7925"/>
        <n v="234.30666666666664"/>
        <n v="184.1677777777778"/>
        <n v="179.9864705882353"/>
        <n v="155.426"/>
        <n v="187.9104166666667"/>
        <n v="152.9284"/>
        <n v="123.2524"/>
        <n v="168.3225"/>
        <n v="175.8023076923077"/>
        <n v="117.83800000000001"/>
        <n v="144.74095238095236"/>
        <n v="105.67033333333333"/>
        <n v="114.20583333333333"/>
        <n v="186.43714285714285"/>
        <n v="163.71627450980392"/>
        <n v="206.0315625"/>
        <n v="195.88181818181818"/>
        <n v="197.15"/>
        <n v="161.62133333333335"/>
        <n v="174.886"/>
        <n v="147.03699999999998"/>
        <n v="193.30133333333333"/>
        <n v="196.85083333333333"/>
        <n v="161.212"/>
        <n v="192.3413157894737"/>
        <n v="141.89"/>
        <n v="167.3725"/>
        <n v="126.02090909090909"/>
        <n v="195.25333333333333"/>
        <n v="124.3"/>
        <n v="142.68"/>
        <n v="168.74759999999998"/>
        <n v="191.17290322580644"/>
        <n v="206.40300000000002"/>
        <n v="110.17263157894737"/>
        <n v="116.06923076923077"/>
        <n v="179.5965789473684"/>
        <n v="188.09428571428572"/>
        <n v="126.668"/>
        <n v="126.10999999999999"/>
        <n v="111.72555555555556"/>
        <n v="169.3242424242424"/>
        <n v="104.80244897959183"/>
        <n v="176.67153846153846"/>
        <n v="198.79054054054055"/>
        <n v="134.510625"/>
        <n v="191.30545454545455"/>
        <n v="192.51"/>
        <n v="130.42675"/>
        <n v="175.38285714285715"/>
        <n v="128.66111111111113"/>
        <n v="139.82222222222222"/>
        <n v="165.63333333333333"/>
        <n v="125.28530612244897"/>
        <n v="146.960625"/>
        <n v="171.975"/>
        <n v="165.37133333333335"/>
        <n v="112.82181818181817"/>
        <n v="141.94"/>
        <n v="201.29333333333332"/>
        <n v="143.10055555555556"/>
        <n v="101.56270270270271"/>
        <n v="114.79928571428572"/>
        <n v="185.74277777777777"/>
        <n v="136.5381818181818"/>
        <n v="113.26814814814814"/>
        <n v="179.71"/>
        <n v="177.79733333333334"/>
        <n v="146.72619047619048"/>
        <n v="136.07225806451612"/>
        <n v="190.62318181818182"/>
        <n v="130.99833333333333"/>
        <n v="180.105"/>
        <n v="179.24115384615385"/>
        <n v="192.275"/>
        <n v="138.63"/>
        <n v="148.04454545454544"/>
        <n v="188.8135593220339"/>
        <n v="136.5325"/>
        <n v="173.1326923076923"/>
        <n v="167.3628205128205"/>
        <n v="157.119"/>
        <n v="132.169"/>
        <n v="198.696"/>
        <n v="114.25"/>
        <n v="144.06105263157895"/>
        <n v="121.48055555555555"/>
        <n v="131.65916666666666"/>
        <n v="137.316"/>
        <n v="159.00782608695653"/>
        <n v="148.06636363636363"/>
        <n v="174.06058823529412"/>
        <n v="199.91"/>
        <n v="121.98235294117646"/>
        <n v="192.30444444444444"/>
        <n v="156.053"/>
        <n v="201.38666666666666"/>
        <n v="133.08666666666667"/>
        <n v="201.90666666666667"/>
        <n v="108.24833333333333"/>
        <n v="180.649"/>
        <n v="163.31333333333333"/>
        <n v="178.67032258064515"/>
        <n v="196.255"/>
        <n v="218.77833333333334"/>
        <n v="183.5708064516129"/>
        <n v="121.38157894736842"/>
        <n v="193.75347826086957"/>
        <n v="150.44333333333333"/>
        <n v="202.276875"/>
        <n v="126.18054054054055"/>
        <n v="126.05416666666667"/>
        <n v="207.19222222222223"/>
        <n v="142.6325"/>
        <n v="120.7422"/>
        <n v="198.03"/>
        <n v="103.9713559322034"/>
        <n v="200.9148148148148"/>
        <n v="186.63444444444445"/>
        <n v="174.018125"/>
        <n v="143.64111111111112"/>
        <n v="170.51970588235295"/>
        <n v="208.2175"/>
        <n v="120.68666666666667"/>
        <n v="184.59235294117647"/>
        <n v="135.5625806451613"/>
        <n v="127.56391304347825"/>
        <n v="181.99"/>
        <n v="159.09310344827585"/>
        <n v="163.43974358974359"/>
        <n v="110.45714285714287"/>
        <n v="183.83714285714285"/>
        <n v="152.66894736842104"/>
      </sharedItems>
    </cacheField>
    <cacheField name="Revenue" numFmtId="165">
      <sharedItems containsSemiMixedTypes="0" containsString="0" containsNumber="1">
        <n v="1385.03"/>
        <n v="5509.8"/>
        <n v="700.19"/>
        <n v="2728.06"/>
        <n v="2748.29"/>
        <n v="2935.19"/>
        <n v="5185.01"/>
        <n v="1433.6"/>
        <n v="6125.59"/>
        <n v="3099.87"/>
        <n v="3156.09"/>
        <n v="3110.42"/>
        <n v="3597.94"/>
        <n v="3539.26"/>
        <n v="2650.13"/>
        <n v="1464.02"/>
        <n v="8582.5"/>
        <n v="3334.5"/>
        <n v="2471.87"/>
        <n v="3238.22"/>
        <n v="4242.0"/>
        <n v="1205.0"/>
        <n v="518.23"/>
        <n v="4639.04"/>
        <n v="5031.51"/>
        <n v="965.62"/>
        <n v="1300.67"/>
        <n v="3145.28"/>
        <n v="2706.28"/>
        <n v="3322.89"/>
        <n v="4892.37"/>
        <n v="7583.58"/>
        <n v="1549.77"/>
        <n v="2330.67"/>
        <n v="991.28"/>
        <n v="6671.52"/>
        <n v="2372.53"/>
        <n v="6250.16"/>
        <n v="3049.55"/>
        <n v="2629.16"/>
        <n v="5521.37"/>
        <n v="5574.01"/>
        <n v="4737.61"/>
        <n v="1948.97"/>
        <n v="6977.24"/>
        <n v="4617.09"/>
        <n v="707.79"/>
        <n v="729.3"/>
        <n v="1798.5"/>
        <n v="1356.4"/>
        <n v="4435.91"/>
        <n v="1524.54"/>
        <n v="2223.33"/>
        <n v="4408.55"/>
        <n v="691.38"/>
        <n v="1914.41"/>
        <n v="5690.84"/>
        <n v="3222.16"/>
        <n v="381.08"/>
        <n v="4405.96"/>
        <n v="3695.72"/>
        <n v="2447.75"/>
        <n v="2046.78"/>
        <n v="3317.19"/>
        <n v="4026.34"/>
        <n v="1130.9"/>
        <n v="4866.69"/>
        <n v="6936.83"/>
        <n v="7401.49"/>
        <n v="1895.3"/>
        <n v="4954.84"/>
        <n v="1285.45"/>
        <n v="995.53"/>
        <n v="959.46"/>
        <n v="1031.1"/>
        <n v="6948.81"/>
        <n v="1067.91"/>
        <n v="2470.15"/>
        <n v="4071.62"/>
        <n v="1533.2"/>
        <n v="2202.06"/>
        <n v="4041.2"/>
        <n v="203.21"/>
        <n v="3809.9"/>
        <n v="1422.56"/>
        <n v="2675.11"/>
        <n v="999.26"/>
        <n v="5622.72"/>
        <n v="1342.52"/>
        <n v="1643.15"/>
        <n v="2628.49"/>
        <n v="4555.27"/>
        <n v="821.56"/>
        <n v="6488.34"/>
        <n v="723.42"/>
        <n v="4959.94"/>
        <n v="6520.93"/>
        <n v="5627.87"/>
        <n v="1322.5"/>
        <n v="1752.21"/>
        <n v="7093.93"/>
        <n v="2369.48"/>
        <n v="907.06"/>
        <n v="3289.77"/>
        <n v="6085.57"/>
        <n v="1309.91"/>
        <n v="3558.76"/>
        <n v="6199.46"/>
        <n v="726.81"/>
        <n v="3273.11"/>
        <n v="10002.84"/>
        <n v="4615.45"/>
        <n v="6023.74"/>
        <n v="3885.46"/>
        <n v="4501.82"/>
        <n v="3491.63"/>
        <n v="1207.33"/>
        <n v="2278.85"/>
        <n v="2020.36"/>
        <n v="3315.75"/>
        <n v="591.86"/>
        <n v="2690.14"/>
        <n v="3538.09"/>
        <n v="4637.49"/>
        <n v="7262.44"/>
        <n v="2748.82"/>
        <n v="2997.07"/>
        <n v="979.94"/>
        <n v="6809.07"/>
        <n v="5813.06"/>
        <n v="447.78"/>
        <n v="2358.84"/>
        <n v="1734.69"/>
        <n v="2127.81"/>
        <n v="920.65"/>
        <n v="4689.11"/>
        <n v="1955.08"/>
        <n v="5772.04"/>
        <n v="6657.83"/>
        <n v="1185.37"/>
        <n v="4606.56"/>
        <n v="2140.09"/>
        <n v="3310.87"/>
        <n v="2575.22"/>
        <n v="3591.49"/>
        <n v="6356.38"/>
        <n v="1717.45"/>
        <n v="8363.6"/>
        <n v="3833.31"/>
        <n v="3855.16"/>
        <n v="656.49"/>
        <n v="2701.33"/>
        <n v="4257.89"/>
        <n v="2500.41"/>
        <n v="3326.74"/>
        <n v="5079.13"/>
        <n v="3051.0"/>
        <n v="6960.52"/>
        <n v="6710.45"/>
        <n v="1125.69"/>
        <n v="4076.46"/>
        <n v="2768.36"/>
        <n v="1471.04"/>
        <n v="4818.87"/>
        <n v="3684.03"/>
        <n v="9144.05"/>
        <n v="6937.93"/>
        <n v="1199.54"/>
        <n v="879.21"/>
        <n v="2934.58"/>
        <n v="5617.45"/>
        <n v="6648.59"/>
        <n v="6036.64"/>
        <n v="3758.31"/>
        <n v="2208.52"/>
        <n v="1515.93"/>
        <n v="4257.68"/>
        <n v="2316.86"/>
        <n v="1495.48"/>
        <n v="1370.21"/>
        <n v="2474.45"/>
        <n v="8621.76"/>
        <n v="2525.96"/>
        <n v="2395.77"/>
        <n v="3389.34"/>
        <n v="4378.14"/>
        <n v="873.32"/>
        <n v="4366.19"/>
        <n v="3349.83"/>
        <n v="1851.96"/>
        <n v="2127.31"/>
        <n v="3038.34"/>
        <n v="9688.99"/>
        <n v="4371.24"/>
        <n v="2614.28"/>
        <n v="3653.84"/>
        <n v="6943.92"/>
        <n v="3868.57"/>
        <n v="2442.66"/>
        <n v="1378.2"/>
        <n v="2143.69"/>
        <n v="852.2"/>
        <n v="587.67"/>
        <n v="1539.88"/>
        <n v="3883.03"/>
        <n v="1511.64"/>
        <n v="1083.0"/>
        <n v="2750.71"/>
        <n v="2340.12"/>
        <n v="2801.92"/>
        <n v="2313.36"/>
        <n v="3066.39"/>
        <n v="2216.96"/>
        <n v="2212.21"/>
        <n v="5983.95"/>
        <n v="1929.6"/>
        <n v="2011.71"/>
        <n v="1930.2"/>
        <n v="7495.7"/>
        <n v="4350.25"/>
        <n v="1056.14"/>
        <n v="2404.8"/>
        <n v="3075.1"/>
        <n v="1203.64"/>
        <n v="1079.41"/>
        <n v="7977.88"/>
        <n v="3515.72"/>
        <n v="1507.63"/>
        <n v="3514.32"/>
        <n v="4938.21"/>
        <n v="726.04"/>
        <n v="631.17"/>
        <n v="702.92"/>
        <n v="3315.02"/>
        <n v="6119.54"/>
        <n v="2331.39"/>
        <n v="4509.85"/>
        <n v="3823.21"/>
        <n v="3081.31"/>
        <n v="673.29"/>
        <n v="2285.43"/>
        <n v="589.19"/>
        <n v="3039.56"/>
        <n v="3170.11"/>
        <n v="2740.94"/>
        <n v="1305.06"/>
        <n v="8349.53"/>
        <n v="6593.01"/>
        <n v="2154.7"/>
        <n v="394.3"/>
        <n v="2424.32"/>
        <n v="874.43"/>
        <n v="2940.74"/>
        <n v="2899.52"/>
        <n v="2362.21"/>
        <n v="5642.42"/>
        <n v="7308.97"/>
        <n v="1135.12"/>
        <n v="3347.45"/>
        <n v="1386.23"/>
        <n v="585.76"/>
        <n v="248.6"/>
        <n v="428.04"/>
        <n v="4218.69"/>
        <n v="5926.36"/>
        <n v="2064.03"/>
        <n v="4186.56"/>
        <n v="1508.9"/>
        <n v="6824.67"/>
        <n v="2633.32"/>
        <n v="633.34"/>
        <n v="1261.1"/>
        <n v="2011.06"/>
        <n v="5587.7"/>
        <n v="5135.32"/>
        <n v="6890.19"/>
        <n v="7355.25"/>
        <n v="2152.17"/>
        <n v="4208.72"/>
        <n v="962.55"/>
        <n v="5217.07"/>
        <n v="2455.36"/>
        <n v="4631.8"/>
        <n v="2516.8"/>
        <n v="496.9"/>
        <n v="6138.98"/>
        <n v="2351.37"/>
        <n v="4127.4"/>
        <n v="2480.57"/>
        <n v="1241.04"/>
        <n v="993.58"/>
        <n v="603.88"/>
        <n v="5151.62"/>
        <n v="3757.82"/>
        <n v="1607.19"/>
        <n v="3343.37"/>
        <n v="1501.92"/>
        <n v="3058.24"/>
        <n v="1437.68"/>
        <n v="2666.96"/>
        <n v="3081.25"/>
        <n v="4218.24"/>
        <n v="4193.71"/>
        <n v="3929.95"/>
        <n v="1440.84"/>
        <n v="4660.27"/>
        <n v="769.1"/>
        <n v="554.52"/>
        <n v="1628.49"/>
        <n v="11140.0"/>
        <n v="1638.39"/>
        <n v="9002.9"/>
        <n v="6527.15"/>
        <n v="1571.19"/>
        <n v="1321.69"/>
        <n v="2980.44"/>
        <n v="3427.5"/>
        <n v="2737.16"/>
        <n v="2186.65"/>
        <n v="1579.91"/>
        <n v="6865.8"/>
        <n v="3657.18"/>
        <n v="1628.73"/>
        <n v="5918.06"/>
        <n v="1199.46"/>
        <n v="4147.4"/>
        <n v="1730.74"/>
        <n v="1560.53"/>
        <n v="604.16"/>
        <n v="399.26"/>
        <n v="605.72"/>
        <n v="2597.96"/>
        <n v="1806.49"/>
        <n v="2939.64"/>
        <n v="5538.78"/>
        <n v="6672.67"/>
        <n v="2625.34"/>
        <n v="11381.39"/>
        <n v="2306.25"/>
        <n v="4456.33"/>
        <n v="4513.3"/>
        <n v="6472.86"/>
        <n v="4668.68"/>
        <n v="1512.65"/>
        <n v="1864.73"/>
        <n v="570.53"/>
        <n v="6037.11"/>
        <n v="2178.33"/>
        <n v="6134.31"/>
        <n v="10849.4"/>
        <n v="1679.71"/>
        <n v="5568.58"/>
        <n v="5171.08"/>
        <n v="5797.67"/>
        <n v="832.87"/>
        <n v="1810.3"/>
        <n v="3138.07"/>
        <n v="4202.44"/>
        <n v="2933.97"/>
        <n v="1455.92"/>
        <n v="4613.7"/>
        <n v="6374.15"/>
        <n v="1546.4"/>
        <n v="3860.58"/>
        <n v="5801.42"/>
      </sharedItems>
    </cacheField>
    <cacheField name="ROAS" numFmtId="4">
      <sharedItems containsSemiMixedTypes="0" containsString="0" containsNumber="1">
        <n v="2.1541464476794823"/>
        <n v="2.5103653146955103"/>
        <n v="2.2396762946614213"/>
        <n v="2.156006733421321"/>
        <n v="3.4410402163569893"/>
        <n v="1.4769960800495152"/>
        <n v="4.116851666587268"/>
        <n v="2.1716934543196036"/>
        <n v="2.612214176666752"/>
        <n v="1.3347528235511943"/>
        <n v="2.2267541538787174"/>
        <n v="1.4371947528682256"/>
        <n v="1.648419818020214"/>
        <n v="1.5065232474492294"/>
        <n v="1.0290528130593988"/>
        <n v="1.254505102784038"/>
        <n v="2.2068995664628406"/>
        <n v="1.7155072180435655"/>
        <n v="1.9360035714565433"/>
        <n v="2.5388843153396836"/>
        <n v="1.740871913358586"/>
        <n v="1.6915129565681237"/>
        <n v="3.2132316468253967"/>
        <n v="2.677903875682603"/>
        <n v="2.09845603323157"/>
        <n v="1.6349813748730104"/>
        <n v="1.7157424018573237"/>
        <n v="2.532798634262615"/>
        <n v="3.0699457767089413"/>
        <n v="1.4250016081651908"/>
        <n v="1.9648782486113956"/>
        <n v="2.5052708082126163"/>
        <n v="2.0431498180667615"/>
        <n v="3.1398375298064103"/>
        <n v="2.2018658374055975"/>
        <n v="1.8150585610708312"/>
        <n v="1.7002995642701528"/>
        <n v="1.7676291750332305"/>
        <n v="3.167507997839545"/>
        <n v="0.8713849172416993"/>
        <n v="4.4369379866764165"/>
        <n v="2.6762099097368925"/>
        <n v="2.689516380832354"/>
        <n v="2.548806005283394"/>
        <n v="2.8447180658050315"/>
        <n v="1.3520029282576866"/>
        <n v="2.018220701454234"/>
        <n v="2.055060865644725"/>
        <n v="1.287438437750544"/>
        <n v="1.145821014039771"/>
        <n v="2.0844853998477486"/>
        <n v="0.96432502182246"/>
        <n v="1.4184194912821297"/>
        <n v="2.928510219943005"/>
        <n v="1.101467284806194"/>
        <n v="1.8631727493917276"/>
        <n v="1.9273016679366692"/>
        <n v="1.434481039257063"/>
        <n v="1.3797747927151598"/>
        <n v="2.5781678808625177"/>
        <n v="1.7886814734508776"/>
        <n v="3.5286952008880306"/>
        <n v="2.509446685384304"/>
        <n v="1.4430156734629958"/>
        <n v="2.4793497336740664"/>
        <n v="1.8524463955183543"/>
        <n v="2.3126479057964815"/>
        <n v="2.4732876956537244"/>
        <n v="2.4811154726746736"/>
        <n v="1.9645911291242109"/>
        <n v="2.368243953732913"/>
        <n v="1.8486373768605737"/>
        <n v="0.8502190603889281"/>
        <n v="3.009315309098893"/>
        <n v="1.197992308496671"/>
        <n v="2.702008772339135"/>
        <n v="1.0256432419972916"/>
        <n v="2.94725099031165"/>
        <n v="2.5128493137158094"/>
        <n v="1.071216472084233"/>
        <n v="1.8285130657898014"/>
        <n v="1.903066606389391"/>
        <n v="1.014325646401118"/>
        <n v="1.130654906755618"/>
        <n v="2.322129903201058"/>
        <n v="1.9700055967950985"/>
        <n v="2.350038804355495"/>
        <n v="1.41100300885089"/>
        <n v="1.394492744590903"/>
        <n v="1.8013835292054028"/>
        <n v="1.5130351191264253"/>
        <n v="1.3780046586199597"/>
        <n v="1.6597507020343845"/>
        <n v="2.148350247504263"/>
        <n v="0.9480139957278957"/>
        <n v="1.76968801735457"/>
        <n v="1.782834192726418"/>
        <n v="1.4889805486178724"/>
        <n v="1.560011795930404"/>
        <n v="1.5503950733075553"/>
        <n v="2.7276792580516167"/>
        <n v="1.1564249354553753"/>
        <n v="1.2381719402659095"/>
        <n v="2.2830880056630094"/>
        <n v="1.5527304829725943"/>
        <n v="3.3098595108146354"/>
        <n v="1.9512136281642882"/>
        <n v="2.4023234816574375"/>
        <n v="0.9811944811944812"/>
        <n v="2.5850886545827905"/>
        <n v="2.921663239555099"/>
        <n v="1.2450029402402905"/>
        <n v="2.9204029787069"/>
        <n v="1.97565427855207"/>
        <n v="2.161250522091053"/>
        <n v="2.013279132791328"/>
        <n v="1.190872146929435"/>
        <n v="2.7395292363916135"/>
        <n v="1.8309981693280888"/>
        <n v="1.419772117101494"/>
        <n v="1.8120751944155287"/>
        <n v="1.5432901922988664"/>
        <n v="1.5980172082834623"/>
        <n v="2.2363683710522886"/>
        <n v="2.3755200837367525"/>
        <n v="2.843803020897993"/>
        <n v="0.8414221583363982"/>
        <n v="1.705400184472947"/>
        <n v="2.8401656781039617"/>
        <n v="1.5392310543875445"/>
        <n v="0.9694516010305484"/>
        <n v="1.8276938811879657"/>
        <n v="1.6241199161111528"/>
        <n v="0.7166177203594186"/>
        <n v="2.555373598312424"/>
        <n v="3.160011860717438"/>
        <n v="1.5044863409003462"/>
        <n v="2.332250452547194"/>
        <n v="2.759402017589668"/>
        <n v="1.194712652946038"/>
        <n v="2.8311126407394664"/>
        <n v="1.762275710438986"/>
        <n v="1.8596318784086632"/>
        <n v="1.75000509666678"/>
        <n v="1.057502502797244"/>
        <n v="1.6728944660401144"/>
        <n v="1.9107830266349213"/>
        <n v="2.328655752310948"/>
        <n v="3.025023674242424"/>
        <n v="1.8591179803727724"/>
        <n v="1.6286437272073235"/>
        <n v="2.0757267229654444"/>
        <n v="1.2943764002760274"/>
        <n v="2.466544346127667"/>
        <n v="1.6142014246064862"/>
        <n v="2.3434963757249703"/>
        <n v="1.1833883460877592"/>
        <n v="3.3430447290943235"/>
        <n v="2.5115651503469545"/>
        <n v="1.2646212955265466"/>
        <n v="1.6531796595872383"/>
        <n v="1.914005406638689"/>
        <n v="3.372475297462115"/>
        <n v="2.019796128794293"/>
        <n v="2.5494840866153177"/>
        <n v="3.4893762354323914"/>
        <n v="1.3521304357146895"/>
        <n v="1.8400110442999142"/>
        <n v="1.2985702891915045"/>
        <n v="2.0803329009024334"/>
        <n v="2.5110186310971248"/>
        <n v="1.889829424488856"/>
        <n v="1.5071178553060602"/>
        <n v="2.009705467145791"/>
        <n v="1.4417338512256423"/>
        <n v="2.335505638750231"/>
        <n v="1.963086768685998"/>
        <n v="1.7780830538522345"/>
        <n v="1.721079040648161"/>
        <n v="2.823545169798879"/>
        <n v="1.4123331221497348"/>
        <n v="2.5023465593953804"/>
        <n v="3.4896662245800174"/>
        <n v="1.0282804264597318"/>
        <n v="2.598609205008089"/>
        <n v="1.255783936346583"/>
        <n v="1.1069536339899104"/>
        <n v="2.588184733575582"/>
        <n v="1.2517067046308026"/>
        <n v="1.2287746490087317"/>
        <n v="1.1835616285927293"/>
        <n v="2.142542839009943"/>
        <n v="2.8718925343758985"/>
        <n v="2.5306339842415753"/>
        <n v="2.1654117900421608"/>
        <n v="1.66758249281183"/>
        <n v="2.004578482287971"/>
        <n v="2.1643681569215447"/>
        <n v="0.8232260934624795"/>
        <n v="2.6600015440438507"/>
        <n v="1.5953754214141656"/>
        <n v="2.567640855679422"/>
        <n v="0.8685120595885552"/>
        <n v="2.2534939194825343"/>
        <n v="1.8949096960262348"/>
        <n v="3.053633113144658"/>
        <n v="2.206286796911606"/>
        <n v="1.0022736630387654"/>
        <n v="1.1660604127841503"/>
        <n v="2.188709312044494"/>
        <n v="2.4610998223347553"/>
        <n v="1.9190364733271583"/>
        <n v="1.9898039778846843"/>
        <n v="2.3524638975733216"/>
        <n v="1.9353884069783236"/>
        <n v="1.571898725927857"/>
        <n v="1.4880062132475314"/>
        <n v="2.7232325512493123"/>
        <n v="1.991842049319728"/>
        <n v="2.238312563672474"/>
        <n v="2.2925177451214487"/>
        <n v="1.065650411007467"/>
        <n v="1.5822566619843683"/>
        <n v="2.2412900582835227"/>
        <n v="1.0147692018426249"/>
        <n v="3.0806550641587536"/>
        <n v="1.0000028443756737"/>
        <n v="1.803644063741207"/>
        <n v="1.5829557227151931"/>
        <n v="2.3210564164751335"/>
        <n v="1.7750287264992788"/>
        <n v="1.340120599600832"/>
        <n v="3.193058962478423"/>
        <n v="1.397928632273191"/>
        <n v="2.3264939913396216"/>
        <n v="2.549416061586913"/>
        <n v="1.624626701681959"/>
        <n v="1.7272784772954195"/>
        <n v="1.2341085954365405"/>
        <n v="1.00877994696073"/>
        <n v="2.502880234799369"/>
        <n v="1.017915759648941"/>
        <n v="2.143463605207114"/>
        <n v="1.3083894985781561"/>
        <n v="1.9152144444289168"/>
        <n v="1.91985524515645"/>
        <n v="2.790758226515367"/>
        <n v="2.180725760838287"/>
        <n v="1.367091338222978"/>
        <n v="0.9736283273248062"/>
        <n v="2.2026457333914813"/>
        <n v="2.007553320935785"/>
        <n v="1.3539692625026474"/>
        <n v="2.6688020617607804"/>
        <n v="2.15021982723309"/>
        <n v="3.4138139664331266"/>
        <n v="3.6008325943442707"/>
        <n v="1.2242318352908186"/>
        <n v="1.3615988806046038"/>
        <n v="1.3697789547534116"/>
        <n v="1.9789857765465049"/>
        <n v="0.931784107946027"/>
        <n v="1.4670459608595814"/>
        <n v="2.2601537596099757"/>
        <n v="1.8705586399977274"/>
        <n v="1.9270009616192552"/>
        <n v="2.142153225847716"/>
        <n v="0.9447571581524359"/>
        <n v="2.8540535793444355"/>
        <n v="3.043667213758987"/>
        <n v="2.3491839762611275"/>
        <n v="1.193387209720461"/>
        <n v="1.2540047764246653"/>
        <n v="2.1820219541625825"/>
        <n v="1.4975707911696947"/>
        <n v="3.6676673959214954"/>
        <n v="3.1687546851170527"/>
        <n v="1.8050120352586954"/>
        <n v="1.7131599299873816"/>
        <n v="2.098201634877384"/>
        <n v="1.480649921952604"/>
        <n v="1.6765858654831"/>
        <n v="2.6147089373616943"/>
        <n v="1.7482876950221595"/>
        <n v="1.7597478485674822"/>
        <n v="2.266393472883671"/>
        <n v="1.76000748502994"/>
        <n v="2.31720188636874"/>
        <n v="2.6162762490375795"/>
        <n v="0.9487348062074765"/>
        <n v="2.2468002351770613"/>
        <n v="1.7651632515857472"/>
        <n v="2.540547204797412"/>
        <n v="1.3115979714282722"/>
        <n v="1.281405472636816"/>
        <n v="3.8456061651713824"/>
        <n v="2.4393302041545533"/>
        <n v="1.7026450725710816"/>
        <n v="3.085547495385672"/>
        <n v="2.917260993218114"/>
        <n v="2.61966502295528"/>
        <n v="1.3600030951367663"/>
        <n v="2.7974478360638244"/>
        <n v="2.1206863988344167"/>
        <n v="1.9802638812534359"/>
        <n v="2.05091339573734"/>
        <n v="2.074891412847007"/>
        <n v="1.2157860118395087"/>
        <n v="2.3574654738122125"/>
        <n v="4.103463264058229"/>
        <n v="1.3630078865927924"/>
        <n v="3.6045338436776824"/>
        <n v="2.6608737836372454"/>
        <n v="2.929958041958042"/>
        <n v="3.157103955665966"/>
        <n v="2.1431529899042197"/>
        <n v="1.2671729196551367"/>
        <n v="1.332904802949068"/>
        <n v="1.6354532059864029"/>
        <n v="2.1777443899211555"/>
        <n v="2.709129076044067"/>
        <n v="2.304606465435755"/>
        <n v="1.2921608606313517"/>
        <n v="3.253182787660239"/>
        <n v="2.840908552615997"/>
        <n v="1.1840039282186554"/>
        <n v="1.527464962756381"/>
        <n v="1.3060795768400262"/>
        <n v="1.6002542776924298"/>
        <n v="1.2709215342989018"/>
        <n v="1.6210458705775304"/>
        <n v="0.7433680987739102"/>
        <n v="1.6009730850696138"/>
        <n v="1.8247866165926936"/>
        <n v="1.8848106607137995"/>
        <n v="2.450484759456482"/>
        <n v="2.1262634443436568"/>
        <n v="2.433023078830581"/>
        <n v="1.9480601755260292"/>
        <n v="1.6597503109939142"/>
        <n v="1.9944144199878924"/>
        <n v="1.9501500379614118"/>
        <n v="1.7233324720386847"/>
        <n v="0.9702133937104338"/>
        <n v="1.2565312021994164"/>
        <n v="0.9703056174424735"/>
        <n v="1.8332437529037722"/>
        <n v="1.6300228976788038"/>
        <n v="1.243903477643719"/>
        <n v="3.4880034978411762"/>
        <n v="1.6490055172684612"/>
        <n v="2.046542225750376"/>
        <n v="1.3279234536261173"/>
        <n v="1.6274800974634793"/>
        <n v="2.18245899061894"/>
        <n v="1.3785514662767764"/>
        <n v="2.7405288805826773"/>
        <n v="1.855726006588418"/>
        <n v="2.042471875696146"/>
        <n v="2.093403117271525"/>
        <n v="1.8333359824522364"/>
        <n v="1.6367686520215183"/>
        <n v="1.3288077336197637"/>
        <n v="2.2049999143263483"/>
        <n v="2.391904149350221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366" sheet="Google Ads Solution"/>
  </cacheSource>
  <cacheFields>
    <cacheField name="Date" numFmtId="164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4-29T00:00:00Z"/>
        <d v="2023-04-30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29T00:00:00Z"/>
        <d v="2023-05-30T00:00:00Z"/>
        <d v="2023-05-31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6-29T00:00:00Z"/>
        <d v="2023-06-30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7-29T00:00:00Z"/>
        <d v="2023-07-30T00:00:00Z"/>
        <d v="2023-07-31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8-31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d v="2023-12-29T00:00:00Z"/>
        <d v="2023-12-30T00:00:00Z"/>
        <d v="2023-12-31T00:00:00Z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Impressions" numFmtId="0">
      <sharedItems containsSemiMixedTypes="0" containsString="0" containsNumber="1" containsInteger="1">
        <n v="26268.0"/>
        <n v="92883.0"/>
        <n v="14955.0"/>
        <n v="41109.0"/>
        <n v="37989.0"/>
        <n v="61008.0"/>
        <n v="45181.0"/>
        <n v="39529.0"/>
        <n v="84110.0"/>
        <n v="70925.0"/>
        <n v="78307.0"/>
        <n v="70313.0"/>
        <n v="93757.0"/>
        <n v="69770.0"/>
        <n v="69622.0"/>
        <n v="20474.0"/>
        <n v="99778.0"/>
        <n v="61824.0"/>
        <n v="66138.0"/>
        <n v="72950.0"/>
        <n v="69746.0"/>
        <n v="41036.0"/>
        <n v="12284.0"/>
        <n v="67438.0"/>
        <n v="47354.0"/>
        <n v="28310.0"/>
        <n v="25310.0"/>
        <n v="73481.0"/>
        <n v="27514.0"/>
        <n v="51191.0"/>
        <n v="79805.0"/>
        <n v="98345.0"/>
        <n v="32308.0"/>
        <n v="25676.0"/>
        <n v="14162.0"/>
        <n v="75090.0"/>
        <n v="90438.0"/>
        <n v="85990.0"/>
        <n v="81784.0"/>
        <n v="58169.0"/>
        <n v="39755.0"/>
        <n v="78407.0"/>
        <n v="86349.0"/>
        <n v="24867.0"/>
        <n v="91084.0"/>
        <n v="69446.0"/>
        <n v="13572.0"/>
        <n v="10937.0"/>
        <n v="51617.0"/>
        <n v="27084.0"/>
        <n v="81535.0"/>
        <n v="87918.0"/>
        <n v="67900.0"/>
        <n v="86072.0"/>
        <n v="17883.0"/>
        <n v="57777.0"/>
        <n v="81640.0"/>
        <n v="44824.0"/>
        <n v="14995.0"/>
        <n v="67762.0"/>
        <n v="46410.0"/>
        <n v="21953.0"/>
        <n v="33528.0"/>
        <n v="54650.0"/>
        <n v="59691.0"/>
        <n v="25009.0"/>
        <n v="80702.0"/>
        <n v="72929.0"/>
        <n v="82617.0"/>
        <n v="32703.0"/>
        <n v="92119.0"/>
        <n v="25896.0"/>
        <n v="59317.0"/>
        <n v="24567.0"/>
        <n v="24965.0"/>
        <n v="52112.0"/>
        <n v="38805.0"/>
        <n v="28757.0"/>
        <n v="86041.0"/>
        <n v="32225.0"/>
        <n v="34968.0"/>
        <n v="99565.0"/>
        <n v="10200.0"/>
        <n v="72780.0"/>
        <n v="24442.0"/>
        <n v="81070.0"/>
        <n v="13535.0"/>
        <n v="74290.0"/>
        <n v="57867.0"/>
        <n v="52354.0"/>
        <n v="70893.0"/>
        <n v="90617.0"/>
        <n v="27366.0"/>
        <n v="72668.0"/>
        <n v="19183.0"/>
        <n v="95464.0"/>
        <n v="81947.0"/>
        <n v="82060.0"/>
        <n v="56322.0"/>
        <n v="49678.0"/>
        <n v="72964.0"/>
        <n v="94115.0"/>
        <n v="20642.0"/>
        <n v="79972.0"/>
        <n v="93812.0"/>
        <n v="22628.0"/>
        <n v="87129.0"/>
        <n v="95649.0"/>
        <n v="21527.0"/>
        <n v="43354.0"/>
        <n v="84934.0"/>
        <n v="84996.0"/>
        <n v="83171.0"/>
        <n v="95234.0"/>
        <n v="45282.0"/>
        <n v="77080.0"/>
        <n v="26490.0"/>
        <n v="62976.0"/>
        <n v="40110.0"/>
        <n v="67890.0"/>
        <n v="12671.0"/>
        <n v="94264.0"/>
        <n v="59532.0"/>
        <n v="51990.0"/>
        <n v="88738.0"/>
        <n v="50381.0"/>
        <n v="70628.0"/>
        <n v="22138.0"/>
        <n v="78604.0"/>
        <n v="68678.0"/>
        <n v="10897.0"/>
        <n v="29715.0"/>
        <n v="44675.0"/>
        <n v="98876.0"/>
        <n v="17231.0"/>
        <n v="58192.0"/>
        <n v="46401.0"/>
        <n v="92964.0"/>
        <n v="65281.0"/>
        <n v="80391.0"/>
        <n v="88277.0"/>
        <n v="60190.0"/>
        <n v="74681.0"/>
        <n v="87812.0"/>
        <n v="67385.0"/>
        <n v="74469.0"/>
        <n v="32768.0"/>
        <n v="76936.0"/>
        <n v="59774.0"/>
        <n v="41440.0"/>
        <n v="23140.0"/>
        <n v="53053.0"/>
        <n v="95715.0"/>
        <n v="26361.0"/>
        <n v="55684.0"/>
        <n v="66949.0"/>
        <n v="76208.0"/>
        <n v="72025.0"/>
        <n v="91551.0"/>
        <n v="43530.0"/>
        <n v="86963.0"/>
        <n v="87979.0"/>
        <n v="19976.0"/>
        <n v="44371.0"/>
        <n v="61532.0"/>
        <n v="78483.0"/>
        <n v="93791.0"/>
        <n v="28076.0"/>
        <n v="32284.0"/>
        <n v="46812.0"/>
        <n v="57004.0"/>
        <n v="73312.0"/>
        <n v="76451.0"/>
        <n v="67806.0"/>
        <n v="70975.0"/>
        <n v="29461.0"/>
        <n v="74614.0"/>
        <n v="28898.0"/>
        <n v="25283.0"/>
        <n v="28922.0"/>
        <n v="40708.0"/>
        <n v="82221.0"/>
        <n v="25683.0"/>
        <n v="63264.0"/>
        <n v="75831.0"/>
        <n v="86875.0"/>
        <n v="24285.0"/>
        <n v="42691.0"/>
        <n v="73001.0"/>
        <n v="50947.0"/>
        <n v="46456.0"/>
        <n v="84562.0"/>
        <n v="96354.0"/>
        <n v="37440.0"/>
        <n v="54837.0"/>
        <n v="62057.0"/>
        <n v="86230.0"/>
        <n v="46938.0"/>
        <n v="73367.0"/>
        <n v="28556.0"/>
        <n v="31091.0"/>
        <n v="22502.0"/>
        <n v="23195.0"/>
        <n v="16705.0"/>
        <n v="88274.0"/>
        <n v="39115.0"/>
        <n v="18005.0"/>
        <n v="53771.0"/>
        <n v="88214.0"/>
        <n v="40749.0"/>
        <n v="48390.0"/>
        <n v="36444.0"/>
        <n v="50980.0"/>
        <n v="53099.0"/>
        <n v="73679.0"/>
        <n v="38948.0"/>
        <n v="39670.0"/>
        <n v="48916.0"/>
        <n v="64865.0"/>
        <n v="98040.0"/>
        <n v="32581.0"/>
        <n v="55945.0"/>
        <n v="84152.0"/>
        <n v="17289.0"/>
        <n v="54915.0"/>
        <n v="94500.0"/>
        <n v="75026.0"/>
        <n v="30890.0"/>
        <n v="91216.0"/>
        <n v="72902.0"/>
        <n v="11758.0"/>
        <n v="14164.0"/>
        <n v="11775.0"/>
        <n v="54177.0"/>
        <n v="88744.0"/>
        <n v="23927.0"/>
        <n v="89752.0"/>
        <n v="76685.0"/>
        <n v="58195.0"/>
        <n v="26918.0"/>
        <n v="50916.0"/>
        <n v="14691.0"/>
        <n v="69387.0"/>
        <n v="88615.0"/>
        <n v="54624.0"/>
        <n v="22282.0"/>
        <n v="97918.0"/>
        <n v="32836.0"/>
        <n v="15457.0"/>
        <n v="48461.0"/>
        <n v="15448.0"/>
        <n v="63862.0"/>
        <n v="62801.0"/>
        <n v="53734.0"/>
        <n v="94469.0"/>
        <n v="78852.0"/>
        <n v="54645.0"/>
        <n v="53416.0"/>
        <n v="33824.0"/>
        <n v="12008.0"/>
        <n v="14356.0"/>
        <n v="11629.0"/>
        <n v="91727.0"/>
        <n v="80004.0"/>
        <n v="23005.0"/>
        <n v="55696.0"/>
        <n v="67655.0"/>
        <n v="72129.0"/>
        <n v="40518.0"/>
        <n v="14436.0"/>
        <n v="27249.0"/>
        <n v="40345.0"/>
        <n v="62184.0"/>
        <n v="78606.0"/>
        <n v="91632.0"/>
        <n v="87605.0"/>
        <n v="49315.0"/>
        <n v="53875.0"/>
        <n v="18309.0"/>
        <n v="83535.0"/>
        <n v="66799.0"/>
        <n v="87053.0"/>
        <n v="65507.0"/>
        <n v="18907.0"/>
        <n v="88312.0"/>
        <n v="33076.0"/>
        <n v="55614.0"/>
        <n v="54210.0"/>
        <n v="42018.0"/>
        <n v="23750.0"/>
        <n v="16272.0"/>
        <n v="83037.0"/>
        <n v="85760.0"/>
        <n v="59118.0"/>
        <n v="59548.0"/>
        <n v="18054.0"/>
        <n v="80909.0"/>
        <n v="18941.0"/>
        <n v="50637.0"/>
        <n v="55842.0"/>
        <n v="98340.0"/>
        <n v="64827.0"/>
        <n v="47590.0"/>
        <n v="17032.0"/>
        <n v="98321.0"/>
        <n v="13212.0"/>
        <n v="12657.0"/>
        <n v="19896.0"/>
        <n v="88487.0"/>
        <n v="35632.0"/>
        <n v="94021.0"/>
        <n v="68712.0"/>
        <n v="20540.0"/>
        <n v="35478.0"/>
        <n v="53934.0"/>
        <n v="93139.0"/>
        <n v="76825.0"/>
        <n v="69812.0"/>
        <n v="55567.0"/>
        <n v="71139.0"/>
        <n v="72501.0"/>
        <n v="60693.0"/>
        <n v="76237.0"/>
        <n v="25965.0"/>
        <n v="97709.0"/>
        <n v="62949.0"/>
        <n v="49105.0"/>
        <n v="17204.0"/>
        <n v="16782.0"/>
        <n v="14376.0"/>
        <n v="78944.0"/>
        <n v="26974.0"/>
        <n v="38378.0"/>
        <n v="99954.0"/>
        <n v="92967.0"/>
        <n v="57849.0"/>
        <n v="106053.0"/>
        <n v="76114.0"/>
        <n v="56666.0"/>
        <n v="71577.0"/>
        <n v="106918.0"/>
        <n v="71077.0"/>
        <n v="44348.0"/>
        <n v="64166.0"/>
        <n v="34386.0"/>
        <n v="110153.0"/>
        <n v="24831.0"/>
        <n v="108166.0"/>
        <n v="91150.0"/>
        <n v="46523.0"/>
        <n v="98159.0"/>
        <n v="83588.0"/>
        <n v="104190.0"/>
        <n v="24959.0"/>
        <n v="67027.0"/>
        <n v="70871.0"/>
        <n v="80032.0"/>
        <n v="108915.0"/>
        <n v="31756.0"/>
        <n v="95173.0"/>
        <n v="100035.0"/>
        <n v="59646.0"/>
        <n v="47837.0"/>
        <n v="88825.0"/>
      </sharedItems>
    </cacheField>
    <cacheField name="CTR" numFmtId="10">
      <sharedItems containsSemiMixedTypes="0" containsString="0" containsNumber="1">
        <n v="0.019872087711283692"/>
        <n v="0.016999881571439338"/>
        <n v="0.018455366098294883"/>
        <n v="0.017076552579727067"/>
        <n v="0.014583168812024533"/>
        <n v="0.017784552845528455"/>
        <n v="0.02757796418848631"/>
        <n v="0.009992663614055503"/>
        <n v="0.020496968255855428"/>
        <n v="0.01849841381741276"/>
        <n v="0.009999106082470278"/>
        <n v="0.017990983175230756"/>
        <n v="0.019390552172104482"/>
        <n v="0.018288662749032535"/>
        <n v="0.02698859555887507"/>
        <n v="0.028475139200937773"/>
        <n v="0.022399727394816493"/>
        <n v="0.026187241200828156"/>
        <n v="0.011687683328797363"/>
        <n v="0.01409184372858122"/>
        <n v="0.021693000315430276"/>
        <n v="0.012379374208012477"/>
        <n v="0.01294366655812439"/>
        <n v="0.016889587472938106"/>
        <n v="0.02608016218270896"/>
        <n v="0.011374072765807135"/>
        <n v="0.015566969577242197"/>
        <n v="0.009988976742287122"/>
        <n v="0.026677327905793413"/>
        <n v="0.029184817643726435"/>
        <n v="0.019998746945680095"/>
        <n v="0.026996796990187606"/>
        <n v="0.012876067846972886"/>
        <n v="0.02449758529365945"/>
        <n v="0.028880101680553594"/>
        <n v="0.027487015581302437"/>
        <n v="0.011090470819788142"/>
        <n v="0.025689033608559134"/>
        <n v="0.010894551501516189"/>
        <n v="0.02659492169368564"/>
        <n v="0.028197710979750976"/>
        <n v="0.022893364112898083"/>
        <n v="0.0203939825591495"/>
        <n v="0.02046889451884023"/>
        <n v="0.01979491458433973"/>
        <n v="0.02809377069953633"/>
        <n v="0.013557323902151489"/>
        <n v="0.016823626222913047"/>
        <n v="0.013580797024236202"/>
        <n v="0.02226406734603456"/>
        <n v="0.014999693383209665"/>
        <n v="0.011089879205623421"/>
        <n v="0.013490427098674521"/>
        <n v="0.010990798401338415"/>
        <n v="0.026952972096404407"/>
        <n v="0.015594440694393964"/>
        <n v="0.02639637432631063"/>
        <n v="0.028779225414956273"/>
        <n v="0.011270423474491496"/>
        <n v="0.019391399309347423"/>
        <n v="0.02798965740142211"/>
        <n v="0.02587345693071562"/>
        <n v="0.01527081842042472"/>
        <n v="0.023897529734675207"/>
        <n v="0.022298168903184735"/>
        <n v="0.023671478267823582"/>
        <n v="0.024596664271021782"/>
        <n v="0.028699145744491217"/>
        <n v="0.023590786399893485"/>
        <n v="0.02498241751521267"/>
        <n v="0.01669579565561936"/>
        <n v="0.01957831325301205"/>
        <n v="0.010486032671915302"/>
        <n v="0.012577848333129808"/>
        <n v="0.020388543961546164"/>
        <n v="0.02818928461774639"/>
        <n v="0.017188506635742815"/>
        <n v="0.020099454045971417"/>
        <n v="0.010692576794783882"/>
        <n v="0.023491078355314197"/>
        <n v="0.028683367650423244"/>
        <n v="0.017194797368553207"/>
        <n v="0.01215686274509804"/>
        <n v="0.025295410827150314"/>
        <n v="0.024097864331887733"/>
        <n v="0.013395830763537684"/>
        <n v="0.02305134835611378"/>
        <n v="0.02978866603849778"/>
        <n v="0.013099002885928076"/>
        <n v="0.013294113152767698"/>
        <n v="0.016898706501347102"/>
        <n v="0.019190659589260292"/>
        <n v="0.011876050573704597"/>
        <n v="0.02988935982826003"/>
        <n v="0.023354011364228745"/>
        <n v="0.018698147992960698"/>
        <n v="0.02579716158004564"/>
        <n v="0.023495003655861563"/>
        <n v="0.01059976563332268"/>
        <n v="0.017492652683280326"/>
        <n v="0.02679403541472507"/>
        <n v="0.01769112256282208"/>
        <n v="0.02097664954946226"/>
        <n v="0.012591907167508628"/>
        <n v="0.021095382253869442"/>
        <n v="0.015865299628778504"/>
        <n v="0.0120970055894134"/>
        <n v="0.018996539430626562"/>
        <n v="0.018488409903841686"/>
        <n v="0.016492134520459473"/>
        <n v="0.027798054960322133"/>
        <n v="0.02318932655654384"/>
        <n v="0.02479229539142249"/>
        <n v="0.010699960098284226"/>
        <n v="0.022989267258513316"/>
        <n v="0.01249351323300467"/>
        <n v="0.020762551906379767"/>
        <n v="0.011099466463414634"/>
        <n v="0.02099227125405136"/>
        <n v="0.019988216232140227"/>
        <n v="0.017283560887064953"/>
        <n v="0.013791054909615548"/>
        <n v="0.023096821877309683"/>
        <n v="0.025889594152721677"/>
        <n v="0.019799860262796096"/>
        <n v="0.01808221353287946"/>
        <n v="0.02559891261256159"/>
        <n v="0.020598066672689493"/>
        <n v="0.024998727800111954"/>
        <n v="0.028189522117708726"/>
        <n v="0.02129026337524089"/>
        <n v="0.025677267373380448"/>
        <n v="0.01719082260772244"/>
        <n v="0.015393017516889842"/>
        <n v="0.02025419302420057"/>
        <n v="0.02039799285125103"/>
        <n v="0.020883170621322816"/>
        <n v="0.015296243707241513"/>
        <n v="0.02798670363505461"/>
        <n v="0.010187707579206628"/>
        <n v="0.012789288263080983"/>
        <n v="0.010383784681840837"/>
        <n v="0.014889998794874197"/>
        <n v="0.011399353163576731"/>
        <n v="0.027988424723603175"/>
        <n v="0.025889967637540454"/>
        <n v="0.021087646484375"/>
        <n v="0.027295414370385775"/>
        <n v="0.021196506842439858"/>
        <n v="0.027799227799227798"/>
        <n v="0.013396715643906655"/>
        <n v="0.022298456260720412"/>
        <n v="0.017896881366556965"/>
        <n v="0.020864155381055346"/>
        <n v="0.021891387112994758"/>
        <n v="0.029694244872963002"/>
        <n v="0.01789838337182448"/>
        <n v="0.021895175286358905"/>
        <n v="0.022796037181461698"/>
        <n v="0.01428899609464737"/>
        <n v="0.026494026195048467"/>
        <n v="0.013696450289273576"/>
        <n v="0.02117541049259111"/>
        <n v="0.028284239706114354"/>
        <n v="0.020590912045764805"/>
        <n v="0.026489813080539736"/>
        <n v="0.029096608416585814"/>
        <n v="0.01798689271976065"/>
        <n v="0.010686408127865196"/>
        <n v="0.02469452277193882"/>
        <n v="0.023489579678619043"/>
        <n v="0.027894478393714534"/>
        <n v="0.029587578972152098"/>
        <n v="0.013995811580096157"/>
        <n v="0.011299753434307854"/>
        <n v="0.015274430603170294"/>
        <n v="0.01719516444635055"/>
        <n v="0.02699148730015918"/>
        <n v="0.019182850136455324"/>
        <n v="0.014072332480464697"/>
        <n v="0.02228063279944974"/>
        <n v="0.028897726858101946"/>
        <n v="0.027099637892769535"/>
        <n v="0.01979008598887203"/>
        <n v="0.017196133507404624"/>
        <n v="0.02729208633093525"/>
        <n v="0.02207123738933498"/>
        <n v="0.026680096507460588"/>
        <n v="0.019492883659127956"/>
        <n v="0.01729248042082949"/>
        <n v="0.026498191837437575"/>
        <n v="0.012889950568813415"/>
        <n v="0.028696265853000395"/>
        <n v="0.02919337606837607"/>
        <n v="0.01278333971588526"/>
        <n v="0.01819295164123306"/>
        <n v="0.024191116780702772"/>
        <n v="0.027184796966210747"/>
        <n v="0.02209440211539248"/>
        <n v="0.016178736517719568"/>
        <n v="0.02939757486089222"/>
        <n v="0.011776730957248245"/>
        <n v="0.015563699073076094"/>
        <n v="0.022568093385214007"/>
        <n v="0.02189772753019009"/>
        <n v="0.011274447143039755"/>
        <n v="0.01988336573174118"/>
        <n v="0.028993323538710456"/>
        <n v="0.012991135193960142"/>
        <n v="0.023779724655819776"/>
        <n v="0.017482951022938623"/>
        <n v="0.02368016683130282"/>
        <n v="0.015496273048254218"/>
        <n v="0.01608316540801145"/>
        <n v="0.026886901288019655"/>
        <n v="0.020591557974735546"/>
        <n v="0.02127552306528863"/>
        <n v="0.012593016599885518"/>
        <n v="0.029599938333461806"/>
        <n v="0.016799265605875153"/>
        <n v="0.010097909824744483"/>
        <n v="0.020895522388059702"/>
        <n v="0.014889723357733625"/>
        <n v="0.01665799062988027"/>
        <n v="0.012983702085040518"/>
        <n v="0.022095238095238095"/>
        <n v="0.028390158078532776"/>
        <n v="0.02457105859501457"/>
        <n v="0.01329810559550956"/>
        <n v="0.019190145675015775"/>
        <n v="0.0222827011396496"/>
        <n v="0.020333239197966677"/>
        <n v="0.016390658174097666"/>
        <n v="0.025896598187422706"/>
        <n v="0.02599612368160101"/>
        <n v="0.029381033978350818"/>
        <n v="0.015698814511097246"/>
        <n v="0.016391732411814568"/>
        <n v="0.02479594466878598"/>
        <n v="0.014488446392748346"/>
        <n v="0.012196559038416216"/>
        <n v="0.019671907970866518"/>
        <n v="0.019095796042486346"/>
        <n v="0.01469277210404559"/>
        <n v="0.02619727592267135"/>
        <n v="0.026299255004039134"/>
        <n v="0.026798277405875582"/>
        <n v="0.018597193570130108"/>
        <n v="0.024972591058594226"/>
        <n v="0.013262599469496022"/>
        <n v="0.01359856379356596"/>
        <n v="0.026540652511651993"/>
        <n v="0.018994080987128497"/>
        <n v="0.00999984076686677"/>
        <n v="0.0144973387426955"/>
        <n v="0.016195789094835343"/>
        <n v="0.021090143560087253"/>
        <n v="0.01008326470857352"/>
        <n v="0.026284259397933205"/>
        <n v="0.01699976348155156"/>
        <n v="0.014490339773484344"/>
        <n v="0.010448592922819726"/>
        <n v="0.012984779430733511"/>
        <n v="0.015295387399566103"/>
        <n v="0.019899005049747513"/>
        <n v="0.02908063464464247"/>
        <n v="0.028996696351623098"/>
        <n v="0.012888921735274554"/>
        <n v="0.022390439351717063"/>
        <n v="0.016289056715533837"/>
        <n v="0.016070933776669436"/>
        <n v="0.02789093177731293"/>
        <n v="0.02649646796381212"/>
        <n v="0.025890904412710664"/>
        <n v="0.028687377553876296"/>
        <n v="0.02009123450323031"/>
        <n v="0.018389361337823183"/>
        <n v="0.015695021798641386"/>
        <n v="0.024"/>
        <n v="0.021574089245726145"/>
        <n v="0.02279284132399593"/>
        <n v="0.01739546999206575"/>
        <n v="0.01709303527735977"/>
        <n v="0.016395194406704627"/>
        <n v="0.014491987094726821"/>
        <n v="0.028399311531841654"/>
        <n v="0.026393759825855605"/>
        <n v="0.0203905491423023"/>
        <n v="0.01588267847260653"/>
        <n v="0.01718311199961921"/>
        <n v="0.013263157894736841"/>
        <n v="0.014441986234021632"/>
        <n v="0.021990197141033514"/>
        <n v="0.023192630597014926"/>
        <n v="0.015595926790486823"/>
        <n v="0.014593269295358367"/>
        <n v="0.02935637531848898"/>
        <n v="0.014992151676574918"/>
        <n v="0.024549918166939442"/>
        <n v="0.017694571163378556"/>
        <n v="0.017692776046703197"/>
        <n v="0.01899532235102705"/>
        <n v="0.018495380011414996"/>
        <n v="0.029480983399873924"/>
        <n v="0.02665570690465007"/>
        <n v="0.0190905299986778"/>
        <n v="0.016727217680896155"/>
        <n v="0.018171762660978114"/>
        <n v="0.024778850020104545"/>
        <n v="0.029495858148654606"/>
        <n v="0.01947687471935339"/>
        <n v="0.023090586145648313"/>
        <n v="0.02379497031086273"/>
        <n v="0.02439143135345667"/>
        <n v="0.011781949377078754"/>
        <n v="0.013497979011384284"/>
        <n v="0.025692781756299726"/>
        <n v="0.016492027334851937"/>
        <n v="0.01678794476594282"/>
        <n v="0.010185901704248925"/>
        <n v="0.028493512700487778"/>
        <n v="0.014399801382049902"/>
        <n v="0.01179707709291022"/>
        <n v="0.019386911866941248"/>
        <n v="0.01009050645099172"/>
        <n v="0.02389749153097463"/>
        <n v="0.011993836280163307"/>
        <n v="0.015395580898075552"/>
        <n v="0.01325273192280865"/>
        <n v="0.010368251698248123"/>
        <n v="0.017042292710072342"/>
        <n v="0.023294993919740575"/>
        <n v="0.02517238822569882"/>
        <n v="0.026395330658189588"/>
        <n v="0.024481261380234907"/>
        <n v="0.020189959878236362"/>
        <n v="0.011581876955522135"/>
        <n v="0.02609072822079526"/>
        <n v="0.010090127965945819"/>
        <n v="0.029788585748067625"/>
        <n v="0.020788800871788422"/>
        <n v="0.015582034830430797"/>
        <n v="0.023073568102199023"/>
        <n v="0.018670515017588166"/>
        <n v="0.011781940591590562"/>
        <n v="0.009974989821438957"/>
        <n v="0.020190099225622544"/>
        <n v="0.02984173009544521"/>
        <n v="0.027790618123994602"/>
        <n v="0.02729566648381788"/>
        <n v="0.014465963072028888"/>
        <n v="0.016789087093389297"/>
        <n v="0.02928650045461071"/>
        <n v="0.02609655437182071"/>
        <n v="0.010978003926439361"/>
        <n v="0.015784683784146686"/>
        <n v="0.010681378843250412"/>
        <n v="0.021591363454618154"/>
        <n v="0.012091998347335077"/>
        <n v="0.01807532434815468"/>
        <n v="0.022590440566126947"/>
        <n v="0.022891987804268505"/>
        <n v="0.01788887771183315"/>
        <n v="0.024374438196375192"/>
        <n v="0.024587672389529976"/>
      </sharedItems>
    </cacheField>
    <cacheField name="Clicks" numFmtId="0">
      <sharedItems containsSemiMixedTypes="0" containsString="0" containsNumber="1" containsInteger="1">
        <n v="522.0"/>
        <n v="1579.0"/>
        <n v="276.0"/>
        <n v="702.0"/>
        <n v="554.0"/>
        <n v="1085.0"/>
        <n v="1246.0"/>
        <n v="395.0"/>
        <n v="1724.0"/>
        <n v="1312.0"/>
        <n v="783.0"/>
        <n v="1265.0"/>
        <n v="1818.0"/>
        <n v="1276.0"/>
        <n v="1879.0"/>
        <n v="583.0"/>
        <n v="2235.0"/>
        <n v="1619.0"/>
        <n v="773.0"/>
        <n v="1028.0"/>
        <n v="1513.0"/>
        <n v="508.0"/>
        <n v="159.0"/>
        <n v="1139.0"/>
        <n v="1235.0"/>
        <n v="322.0"/>
        <n v="394.0"/>
        <n v="734.0"/>
        <n v="1494.0"/>
        <n v="1596.0"/>
        <n v="2655.0"/>
        <n v="416.0"/>
        <n v="629.0"/>
        <n v="409.0"/>
        <n v="2064.0"/>
        <n v="1003.0"/>
        <n v="2209.0"/>
        <n v="891.0"/>
        <n v="1547.0"/>
        <n v="1121.0"/>
        <n v="1795.0"/>
        <n v="1761.0"/>
        <n v="509.0"/>
        <n v="1803.0"/>
        <n v="1951.0"/>
        <n v="184.0"/>
        <n v="701.0"/>
        <n v="603.0"/>
        <n v="1223.0"/>
        <n v="975.0"/>
        <n v="916.0"/>
        <n v="946.0"/>
        <n v="482.0"/>
        <n v="901.0"/>
        <n v="2155.0"/>
        <n v="1290.0"/>
        <n v="169.0"/>
        <n v="1314.0"/>
        <n v="1299.0"/>
        <n v="568.0"/>
        <n v="512.0"/>
        <n v="1306.0"/>
        <n v="1331.0"/>
        <n v="592.0"/>
        <n v="1985.0"/>
        <n v="2093.0"/>
        <n v="1949.0"/>
        <n v="817.0"/>
        <n v="1538.0"/>
        <n v="507.0"/>
        <n v="622.0"/>
        <n v="309.0"/>
        <n v="1469.0"/>
        <n v="667.0"/>
        <n v="578.0"/>
        <n v="920.0"/>
        <n v="757.0"/>
        <n v="1712.0"/>
        <n v="124.0"/>
        <n v="1841.0"/>
        <n v="589.0"/>
        <n v="1086.0"/>
        <n v="312.0"/>
        <n v="2213.0"/>
        <n v="758.0"/>
        <n v="696.0"/>
        <n v="1198.0"/>
        <n v="1739.0"/>
        <n v="325.0"/>
        <n v="2172.0"/>
        <n v="448.0"/>
        <n v="1785.0"/>
        <n v="2114.0"/>
        <n v="1928.0"/>
        <n v="597.0"/>
        <n v="869.0"/>
        <n v="1955.0"/>
        <n v="1665.0"/>
        <n v="433.0"/>
        <n v="1007.0"/>
        <n v="1979.0"/>
        <n v="359.0"/>
        <n v="1054.0"/>
        <n v="1817.0"/>
        <n v="398.0"/>
        <n v="715.0"/>
        <n v="2361.0"/>
        <n v="1971.0"/>
        <n v="2062.0"/>
        <n v="1019.0"/>
        <n v="1041.0"/>
        <n v="963.0"/>
        <n v="550.0"/>
        <n v="699.0"/>
        <n v="842.0"/>
        <n v="1357.0"/>
        <n v="219.0"/>
        <n v="1300.0"/>
        <n v="1375.0"/>
        <n v="1346.0"/>
        <n v="1757.0"/>
        <n v="911.0"/>
        <n v="1808.0"/>
        <n v="456.0"/>
        <n v="1965.0"/>
        <n v="1936.0"/>
        <n v="232.0"/>
        <n v="763.0"/>
        <n v="768.0"/>
        <n v="1522.0"/>
        <n v="349.0"/>
        <n v="1187.0"/>
        <n v="969.0"/>
        <n v="1422.0"/>
        <n v="1827.0"/>
        <n v="819.0"/>
        <n v="1129.0"/>
        <n v="625.0"/>
        <n v="1112.0"/>
        <n v="1001.0"/>
        <n v="1886.0"/>
        <n v="691.0"/>
        <n v="2100.0"/>
        <n v="1267.0"/>
        <n v="1152.0"/>
        <n v="310.0"/>
        <n v="1183.0"/>
        <n v="1713.0"/>
        <n v="1219.0"/>
        <n v="1988.0"/>
        <n v="1364.0"/>
        <n v="1577.0"/>
        <n v="2087.0"/>
        <n v="2304.0"/>
        <n v="1205.0"/>
        <n v="423.0"/>
        <n v="1255.0"/>
        <n v="2079.0"/>
        <n v="2729.0"/>
        <n v="505.0"/>
        <n v="345.0"/>
        <n v="1156.0"/>
        <n v="1339.0"/>
        <n v="2045.0"/>
        <n v="2262.0"/>
        <n v="949.0"/>
        <n v="802.0"/>
        <n v="450.0"/>
        <n v="1283.0"/>
        <n v="780.0"/>
        <n v="485.0"/>
        <n v="407.0"/>
        <n v="907.0"/>
        <n v="2376.0"/>
        <n v="1252.0"/>
        <n v="1304.0"/>
        <n v="2371.0"/>
        <n v="536.0"/>
        <n v="1423.0"/>
        <n v="881.0"/>
        <n v="1231.0"/>
        <n v="1090.0"/>
        <n v="2765.0"/>
        <n v="1093.0"/>
        <n v="2086.0"/>
        <n v="1621.0"/>
        <n v="462.0"/>
        <n v="914.0"/>
        <n v="265.0"/>
        <n v="361.0"/>
        <n v="377.0"/>
        <n v="1933.0"/>
        <n v="441.0"/>
        <n v="358.0"/>
        <n v="1559.0"/>
        <n v="1146.0"/>
        <n v="846.0"/>
        <n v="863.0"/>
        <n v="790.0"/>
        <n v="854.0"/>
        <n v="1981.0"/>
        <n v="844.0"/>
        <n v="616.0"/>
        <n v="1920.0"/>
        <n v="1647.0"/>
        <n v="329.0"/>
        <n v="1169.0"/>
        <n v="1253.0"/>
        <n v="288.0"/>
        <n v="713.0"/>
        <n v="2088.0"/>
        <n v="2130.0"/>
        <n v="759.0"/>
        <n v="1213.0"/>
        <n v="1399.0"/>
        <n v="262.0"/>
        <n v="193.0"/>
        <n v="1403.0"/>
        <n v="2307.0"/>
        <n v="703.0"/>
        <n v="1409.0"/>
        <n v="1257.0"/>
        <n v="1443.0"/>
        <n v="390.0"/>
        <n v="621.0"/>
        <n v="289.0"/>
        <n v="1325.0"/>
        <n v="1302.0"/>
        <n v="1431.0"/>
        <n v="586.0"/>
        <n v="2514.0"/>
        <n v="1821.0"/>
        <n v="820.0"/>
        <n v="205.0"/>
        <n v="659.0"/>
        <n v="410.0"/>
        <n v="628.0"/>
        <n v="779.0"/>
        <n v="1530.0"/>
        <n v="1663.0"/>
        <n v="551.0"/>
        <n v="1404.0"/>
        <n v="575.0"/>
        <n v="174.0"/>
        <n v="150.0"/>
        <n v="151.0"/>
        <n v="1592.0"/>
        <n v="669.0"/>
        <n v="1615.0"/>
        <n v="872.0"/>
        <n v="660.0"/>
        <n v="760.0"/>
        <n v="1069.0"/>
        <n v="1610.0"/>
        <n v="2255.0"/>
        <n v="1611.0"/>
        <n v="774.0"/>
        <n v="1293.0"/>
        <n v="1904.0"/>
        <n v="1162.0"/>
        <n v="1488.0"/>
        <n v="1074.0"/>
        <n v="274.0"/>
        <n v="2508.0"/>
        <n v="873.0"/>
        <n v="1134.0"/>
        <n v="861.0"/>
        <n v="722.0"/>
        <n v="315.0"/>
        <n v="235.0"/>
        <n v="1826.0"/>
        <n v="1989.0"/>
        <n v="922.0"/>
        <n v="530.0"/>
        <n v="465.0"/>
        <n v="896.0"/>
        <n v="988.0"/>
        <n v="1868.0"/>
        <n v="1199.0"/>
        <n v="454.0"/>
        <n v="1877.0"/>
        <n v="221.0"/>
        <n v="230.0"/>
        <n v="493.0"/>
        <n v="2610.0"/>
        <n v="694.0"/>
        <n v="2171.0"/>
        <n v="1635.0"/>
        <n v="501.0"/>
        <n v="418.0"/>
        <n v="728.0"/>
        <n v="2393.0"/>
        <n v="1172.0"/>
        <n v="566.0"/>
        <n v="2027.0"/>
        <n v="1044.0"/>
        <n v="716.0"/>
        <n v="1478.0"/>
        <n v="2335.0"/>
        <n v="755.0"/>
        <n v="756.0"/>
        <n v="228.0"/>
        <n v="245.0"/>
        <n v="1839.0"/>
        <n v="679.0"/>
        <n v="1013.0"/>
        <n v="2447.0"/>
        <n v="670.0"/>
        <n v="2767.0"/>
        <n v="1688.0"/>
        <n v="1666.0"/>
        <n v="1640.0"/>
        <n v="828.0"/>
        <n v="343.0"/>
        <n v="2224.0"/>
        <n v="741.0"/>
        <n v="3006.0"/>
        <n v="2488.0"/>
        <n v="673.0"/>
        <n v="1648.0"/>
        <n v="2448.0"/>
        <n v="2719.0"/>
        <n v="1058.0"/>
        <n v="1728.0"/>
        <n v="1317.0"/>
        <n v="574.0"/>
        <n v="2150.0"/>
        <n v="2290.0"/>
        <n v="1067.0"/>
        <n v="1166.0"/>
        <n v="2184.0"/>
      </sharedItems>
    </cacheField>
    <cacheField name="CPC" numFmtId="165">
      <sharedItems containsSemiMixedTypes="0" containsString="0" containsNumber="1">
        <n v="1.2317241379310346"/>
        <n v="1.3900063331222294"/>
        <n v="1.1327173913043478"/>
        <n v="1.8024643874643873"/>
        <n v="1.4416606498194946"/>
        <n v="1.8315852534562211"/>
        <n v="1.0108025682182986"/>
        <n v="1.6712151898734178"/>
        <n v="1.3601972157772622"/>
        <n v="1.7701448170731706"/>
        <n v="1.8101532567049807"/>
        <n v="1.7108537549407115"/>
        <n v="1.2005830583058306"/>
        <n v="1.8411363636363636"/>
        <n v="1.3705747738158596"/>
        <n v="2.0017324185248713"/>
        <n v="1.7400178970917226"/>
        <n v="1.200580605311921"/>
        <n v="1.6517335058214748"/>
        <n v="1.2407101167315175"/>
        <n v="1.610515532055519"/>
        <n v="1.4023228346456693"/>
        <n v="1.0143396226415093"/>
        <n v="1.5209306409130816"/>
        <n v="1.9414736842105262"/>
        <n v="1.83416149068323"/>
        <n v="1.924060913705584"/>
        <n v="1.6918528610354222"/>
        <n v="1.201008174386921"/>
        <n v="1.560809906291834"/>
        <n v="1.560093984962406"/>
        <n v="1.1401318267419962"/>
        <n v="1.8233653846153846"/>
        <n v="1.1801112877583466"/>
        <n v="1.1007334963325184"/>
        <n v="1.7808381782945737"/>
        <n v="1.391186440677966"/>
        <n v="1.600679040289724"/>
        <n v="1.0805387205387205"/>
        <n v="1.9503684550743372"/>
        <n v="1.1100892060660126"/>
        <n v="1.1603342618384402"/>
        <n v="1.0002896081771722"/>
        <n v="1.502278978388998"/>
        <n v="1.3603438713255684"/>
        <n v="1.7503844182470527"/>
        <n v="1.9059782608695652"/>
        <n v="1.928695652173913"/>
        <n v="1.9928102710413695"/>
        <n v="1.963150912106136"/>
        <n v="1.7400327064595258"/>
        <n v="1.621476923076923"/>
        <n v="1.711211790393013"/>
        <n v="1.5913213530655392"/>
        <n v="1.3022614107883819"/>
        <n v="1.1403995560488347"/>
        <n v="1.370185614849188"/>
        <n v="1.7412558139534882"/>
        <n v="1.6342603550295858"/>
        <n v="1.3005707762557077"/>
        <n v="1.59058506543495"/>
        <n v="1.22125"/>
        <n v="1.59302734375"/>
        <n v="1.7601761102603368"/>
        <n v="1.2200976709241171"/>
        <n v="1.031233108108108"/>
        <n v="1.060141057934509"/>
        <n v="1.3400382226469183"/>
        <n v="1.5305951770138533"/>
        <n v="1.1808200734394125"/>
        <n v="1.360338101430429"/>
        <n v="1.3714990138067062"/>
        <n v="1.882491961414791"/>
        <n v="1.0318122977346278"/>
        <n v="1.690943025540275"/>
        <n v="1.750660313138189"/>
        <n v="1.5610344827586207"/>
        <n v="1.4500346020761246"/>
        <n v="1.7612173913043478"/>
        <n v="1.8907133421400264"/>
        <n v="1.2006879361914258"/>
        <n v="1.240373831775701"/>
        <n v="1.6156451612903227"/>
        <n v="1.83033134166214"/>
        <n v="1.0400848896434636"/>
        <n v="1.2503867403314919"/>
        <n v="1.362852564102564"/>
        <n v="1.8006823316764573"/>
        <n v="1.2700923482849604"/>
        <n v="1.3105747126436782"/>
        <n v="1.4501085141903172"/>
        <n v="1.9009200690051753"/>
        <n v="1.523046153846154"/>
        <n v="1.3904926335174954"/>
        <n v="1.7033258928571429"/>
        <n v="1.5701512605042016"/>
        <n v="1.7301892147587512"/>
        <n v="1.960414937759336"/>
        <n v="1.4200167504187604"/>
        <n v="1.30054085155351"/>
        <n v="1.3302915601023018"/>
        <n v="1.2306126126126125"/>
        <n v="1.6918706697459585"/>
        <n v="1.4309136047666335"/>
        <n v="1.9804295098534614"/>
        <n v="1.1023955431754875"/>
        <n v="1.7304269449715368"/>
        <n v="1.4202586681342872"/>
        <n v="1.8611557788944724"/>
        <n v="1.770839160839161"/>
        <n v="1.4500974163490046"/>
        <n v="1.8808625063419584"/>
        <n v="1.0003103782735208"/>
        <n v="1.9300000000000002"/>
        <n v="2.0009317963496636"/>
        <n v="1.8009345794392524"/>
        <n v="1.843309090909091"/>
        <n v="1.1900429184549357"/>
        <n v="1.3104750593824228"/>
        <n v="1.7210095799557847"/>
        <n v="1.4914155251141552"/>
        <n v="1.3408615384615383"/>
        <n v="1.610218181818182"/>
        <n v="1.5406166419019316"/>
        <n v="1.7400113830392714"/>
        <n v="1.0610318331503843"/>
        <n v="1.97008296460177"/>
        <n v="1.260109649122807"/>
        <n v="1.2200610687022901"/>
        <n v="1.9507231404958678"/>
        <n v="1.990905172413793"/>
        <n v="1.691494102228047"/>
        <n v="1.3907291666666666"/>
        <n v="1.9508804204993428"/>
        <n v="1.0323209169054441"/>
        <n v="1.2501179443976411"/>
        <n v="1.3410732714138287"/>
        <n v="1.7404219409282702"/>
        <n v="1.3206239737274221"/>
        <n v="1.2114529914529915"/>
        <n v="1.4412046058458812"/>
        <n v="1.943024"/>
        <n v="1.6010701438848922"/>
        <n v="1.47007992007992"/>
        <n v="1.8007423117709438"/>
        <n v="1.9707624481327801"/>
        <n v="1.3007525325615052"/>
        <n v="1.7102857142857142"/>
        <n v="1.0001578531965272"/>
        <n v="1.8000434027777779"/>
        <n v="1.300290322580645"/>
        <n v="1.1000760777683856"/>
        <n v="1.9203327495621718"/>
        <n v="1.8431454545454546"/>
        <n v="1.6906644790812142"/>
        <n v="1.0902062374245471"/>
        <n v="1.8901686217008797"/>
        <n v="1.320285351934052"/>
        <n v="1.2802204120747485"/>
        <n v="1.4310932475884244"/>
        <n v="1.0702387152777777"/>
        <n v="1.2003070539419087"/>
        <n v="1.0311820330969268"/>
        <n v="1.9010517928286854"/>
        <n v="1.1404972375690607"/>
        <n v="1.2604810004810005"/>
        <n v="1.8802161964089408"/>
        <n v="1.2909306930693067"/>
        <n v="1.9624927536231882"/>
        <n v="1.2202681660899655"/>
        <n v="1.670739357729649"/>
        <n v="1.7203374083129586"/>
        <n v="1.7707427055702918"/>
        <n v="1.9705795574288725"/>
        <n v="1.9100374064837904"/>
        <n v="1.4424000000000001"/>
        <n v="1.6904676539360872"/>
        <n v="1.670525641025641"/>
        <n v="1.7915876288659793"/>
        <n v="1.1923341523341522"/>
        <n v="1.9316758544652701"/>
        <n v="1.4501136363636362"/>
        <n v="1.04"/>
        <n v="1.860926517571885"/>
        <n v="1.0002223926380367"/>
        <n v="1.4704259805989035"/>
        <n v="1.471902985074627"/>
        <n v="1.481097453906936"/>
        <n v="1.8806816584680253"/>
        <n v="1.7107377979568672"/>
        <n v="1.4600974817221772"/>
        <n v="1.3010091743119265"/>
        <n v="1.2201555153707053"/>
        <n v="1.5803568161024701"/>
        <n v="1.7222396576319543"/>
        <n v="1.9407440212577503"/>
        <n v="1.660608820709492"/>
        <n v="1.4007758620689656"/>
        <n v="1.8304626773596544"/>
        <n v="1.1214718614718615"/>
        <n v="1.4701203501094093"/>
        <n v="1.2524528301886793"/>
        <n v="1.874349030470914"/>
        <n v="1.8125464190981433"/>
        <n v="1.0601086394205899"/>
        <n v="1.122517006802721"/>
        <n v="1.371145251396648"/>
        <n v="1.760404105195638"/>
        <n v="1.7511867364746945"/>
        <n v="1.3211248710010322"/>
        <n v="1.1110756501182033"/>
        <n v="1.8515411355735807"/>
        <n v="1.4103291139240508"/>
        <n v="1.1011475409836065"/>
        <n v="1.5607571933366986"/>
        <n v="1.5306234413965087"/>
        <n v="1.6018364928909954"/>
        <n v="1.1506331168831168"/>
        <n v="1.96"/>
        <n v="1.1800485731633272"/>
        <n v="1.4002735562310031"/>
        <n v="1.9304106073567153"/>
        <n v="1.5510694333599362"/>
        <n v="1.8646874999999998"/>
        <n v="1.4918653576437588"/>
        <n v="1.2402634099616858"/>
        <n v="1.6505680751173708"/>
        <n v="1.1012911725955203"/>
        <n v="1.8302555647155812"/>
        <n v="1.5207791279485348"/>
        <n v="1.5611832061068702"/>
        <n v="1.6353472222222223"/>
        <n v="1.140621761658031"/>
        <n v="1.6902209550962224"/>
        <n v="1.1401690507152145"/>
        <n v="1.3008250355618778"/>
        <n v="1.9701419446415898"/>
        <n v="1.7608830548926013"/>
        <n v="1.7302772002772002"/>
        <n v="1.7113589743589743"/>
        <n v="1.470402576489533"/>
        <n v="2.0028373702422146"/>
        <n v="1.0702339622641508"/>
        <n v="1.8609139784946236"/>
        <n v="1.0000978336827395"/>
        <n v="1.1600170648464163"/>
        <n v="1.1900755767700875"/>
        <n v="1.6602471169686985"/>
        <n v="1.9220975609756097"/>
        <n v="1.9755121951219512"/>
        <n v="1.6701669195751139"/>
        <n v="1.0623658536585365"/>
        <n v="1.7905523495465787"/>
        <n v="1.730015923566879"/>
        <n v="1.4102567394094994"/>
        <n v="1.0802745098039215"/>
        <n v="1.2205652435357788"/>
        <n v="1.682776769509982"/>
        <n v="1.7510470085470085"/>
        <n v="1.7600173913043478"/>
        <n v="1.7010919540229885"/>
        <n v="1.7786666666666668"/>
        <n v="1.932251655629139"/>
        <n v="1.3303991446899501"/>
        <n v="1.9900942211055277"/>
        <n v="1.6010612855007473"/>
        <n v="1.2101362229102166"/>
        <n v="1.8315711009174314"/>
        <n v="1.4806315789473683"/>
        <n v="1.3108787878787878"/>
        <n v="1.1620689655172414"/>
        <n v="1.3904473684210525"/>
        <n v="1.5001964452759589"/>
        <n v="1.5905527950310558"/>
        <n v="1.5206651884700664"/>
        <n v="1.0204399782726779"/>
        <n v="1.4408317815021725"/>
        <n v="1.5404780361757104"/>
        <n v="1.9"/>
        <n v="1.1613924050632911"/>
        <n v="1.850577731092437"/>
        <n v="1.2603270223752152"/>
        <n v="1.1904838709677419"/>
        <n v="1.3403910614525139"/>
        <n v="1.0305474452554744"/>
        <n v="1.080023923444976"/>
        <n v="1.5303550973654065"/>
        <n v="1.5707231040564373"/>
        <n v="1.1011962833914053"/>
        <n v="1.8117728531855954"/>
        <n v="1.403873015873016"/>
        <n v="1.4557872340425533"/>
        <n v="1.1104928806133625"/>
        <n v="1.4404575163398694"/>
        <n v="1.3603470715835142"/>
        <n v="1.0004602991944764"/>
        <n v="1.1617169811320756"/>
        <n v="1.4807666941467437"/>
        <n v="1.0020215053763442"/>
        <n v="1.0203125"/>
        <n v="1.1904858299595142"/>
        <n v="1.660406852248394"/>
        <n v="1.2503085904920765"/>
        <n v="1.320848182466144"/>
        <n v="1.6026431718061676"/>
        <n v="1.2105966968566861"/>
        <n v="1.677239819004525"/>
        <n v="1.9830434782608697"/>
        <n v="1.4011764705882352"/>
        <n v="1.040145593869732"/>
        <n v="1.7320461095100863"/>
        <n v="1.150465223399355"/>
        <n v="1.5003119266055047"/>
        <n v="1.0703592814371257"/>
        <n v="1.0015311004784688"/>
        <n v="1.9102747252747254"/>
        <n v="1.13031341412453"/>
        <n v="1.62078137332281"/>
        <n v="1.140810580204778"/>
        <n v="1.2817667844522969"/>
        <n v="1.2502812037493833"/>
        <n v="1.5200191570881227"/>
        <n v="1.7604329608938547"/>
        <n v="1.2308254397834912"/>
        <n v="1.6114885496183204"/>
        <n v="1.5001541755888652"/>
        <n v="1.5007682119205297"/>
        <n v="1.5804497354497353"/>
        <n v="1.6558771929824563"/>
        <n v="1.8054597701149424"/>
        <n v="1.5251428571428574"/>
        <n v="1.9004078303425775"/>
        <n v="1.6618114874815904"/>
        <n v="1.5902764067127344"/>
        <n v="1.2009154066203513"/>
        <n v="1.4507192328183272"/>
        <n v="1.842865671641791"/>
        <n v="1.690596313697145"/>
        <n v="1.5414973958333331"/>
        <n v="1.5906042654028436"/>
        <n v="1.5208131720430107"/>
        <n v="1.9922929171668666"/>
        <n v="1.651890243902439"/>
        <n v="1.8829589371980675"/>
        <n v="1.9630026455026455"/>
        <n v="1.7142565597667638"/>
        <n v="1.4807239208633094"/>
        <n v="1.8034817813765183"/>
        <n v="1.6405522288755823"/>
        <n v="1.2501969453376205"/>
        <n v="1.5135512630014858"/>
        <n v="1.6510740291262134"/>
        <n v="1.590731209150327"/>
        <n v="1.3101728576682605"/>
        <n v="1.3927737226277372"/>
        <n v="1.2412003780718337"/>
        <n v="1.5126287978863935"/>
        <n v="1.3105208333333334"/>
        <n v="1.090721336370539"/>
        <n v="1.211637630662021"/>
        <n v="1.170493023255814"/>
        <n v="1.700589519650655"/>
        <n v="1.0906747891283974"/>
        <n v="1.5015694682675813"/>
        <n v="1.1105494505494506"/>
      </sharedItems>
    </cacheField>
    <cacheField name="CPM" numFmtId="165">
      <sharedItems containsSemiMixedTypes="0" containsString="0" containsNumber="1">
        <n v="24.47693010507081"/>
        <n v="23.629943046628554"/>
        <n v="20.904714142427284"/>
        <n v="30.779877885621154"/>
        <n v="21.023980625970676"/>
        <n v="32.57392473118279"/>
        <n v="27.87587702795423"/>
        <n v="16.699891219104963"/>
        <n v="27.879919153489478"/>
        <n v="32.74487134296792"/>
        <n v="18.099914439322152"/>
        <n v="30.7799411204187"/>
        <n v="23.279968429023963"/>
        <n v="33.67192202952558"/>
        <n v="36.989888253712905"/>
        <n v="56.999609260525546"/>
        <n v="38.975926556956445"/>
        <n v="31.439893892339548"/>
        <n v="19.304938159605673"/>
        <n v="17.48389307745031"/>
        <n v="34.93691394488573"/>
        <n v="17.359879130519545"/>
        <n v="13.129273852165419"/>
        <n v="25.687891099973307"/>
        <n v="50.633948557672"/>
        <n v="20.861886259272342"/>
        <n v="29.951797708415647"/>
        <n v="16.899878880254757"/>
        <n v="32.03968888565821"/>
        <n v="45.551952491648926"/>
        <n v="31.199924816740804"/>
        <n v="30.77990746860542"/>
        <n v="23.477776402129503"/>
        <n v="28.909876927870382"/>
        <n v="31.789295297274396"/>
        <n v="48.9499267545612"/>
        <n v="15.428912625223909"/>
        <n v="41.119897662518895"/>
        <n v="11.771984740291499"/>
        <n v="51.86989633653664"/>
        <n v="31.301974594390643"/>
        <n v="26.563954748938237"/>
        <n v="20.399888823263733"/>
        <n v="30.749989946515463"/>
        <n v="26.927890738219663"/>
        <n v="49.174898482274"/>
        <n v="25.83996463306808"/>
        <n v="32.447654749931424"/>
        <n v="27.06395179882597"/>
        <n v="43.70772411756018"/>
        <n v="26.099957073649353"/>
        <n v="17.98198321162902"/>
        <n v="23.084977908689247"/>
        <n v="17.48989218328841"/>
        <n v="35.09981546720349"/>
        <n v="17.783893244716754"/>
        <n v="36.167932386085255"/>
        <n v="50.1119935748706"/>
        <n v="18.418806268756253"/>
        <n v="25.219887252442373"/>
        <n v="44.519931049342816"/>
        <n v="31.597959276636452"/>
        <n v="24.326831305177762"/>
        <n v="42.063860933211345"/>
        <n v="27.205943944648272"/>
        <n v="24.410812107641252"/>
        <n v="26.075933681940967"/>
        <n v="38.45795225493288"/>
        <n v="36.10794388564097"/>
        <n v="29.499740085007492"/>
        <n v="22.711926964035648"/>
        <n v="26.85163731850479"/>
        <n v="19.73987221201342"/>
        <n v="12.977978589164326"/>
        <n v="34.475866212697774"/>
        <n v="49.349861836045434"/>
        <n v="26.83185156551991"/>
        <n v="29.144903849497513"/>
        <n v="18.831952208830675"/>
        <n v="44.41489526764934"/>
        <n v="34.43977350720659"/>
        <n v="21.32797669863908"/>
        <n v="19.641176470588235"/>
        <n v="46.29898323715306"/>
        <n v="25.063824564274608"/>
        <n v="16.7499691624522"/>
        <n v="31.415589213151087"/>
        <n v="53.63992461973348"/>
        <n v="16.636943335579865"/>
        <n v="17.422928525041065"/>
        <n v="24.5049581764067"/>
        <n v="36.479909950671505"/>
        <n v="18.087773149163198"/>
        <n v="41.56093466174933"/>
        <n v="39.77949225877079"/>
        <n v="29.358920640241347"/>
        <n v="44.63397073718379"/>
        <n v="46.05995612966122"/>
        <n v="15.051844749831327"/>
        <n v="22.749909416643185"/>
        <n v="35.643879173290934"/>
        <n v="21.770918557084418"/>
        <n v="35.48977812227498"/>
        <n v="18.017931275946584"/>
        <n v="41.777917537202065"/>
        <n v="17.48983560190914"/>
        <n v="20.932984425392235"/>
        <n v="26.979999790902156"/>
        <n v="34.40981093510475"/>
        <n v="29.204917654657013"/>
        <n v="40.30988767749076"/>
        <n v="43.61593486752317"/>
        <n v="24.7999903812627"/>
        <n v="20.65092298968856"/>
        <n v="45.99995583233955"/>
        <n v="22.5"/>
        <n v="38.2718006795017"/>
        <n v="13.208841463414636"/>
        <n v="27.50984791822488"/>
        <n v="34.399911621741055"/>
        <n v="25.77697103622445"/>
        <n v="18.491895103114658"/>
        <n v="37.19092252906"/>
        <n v="39.88593960376996"/>
        <n v="34.45198223985214"/>
        <n v="19.185804172207778"/>
        <n v="50.43198165033697"/>
        <n v="25.95582256753094"/>
        <n v="30.49997455600224"/>
        <n v="54.989953114534494"/>
        <n v="42.38689547581903"/>
        <n v="43.43294632340569"/>
        <n v="23.90777839955232"/>
        <n v="30.029936486103804"/>
        <n v="20.90882711392258"/>
        <n v="25.49989689304372"/>
        <n v="28.005861942630546"/>
        <n v="26.621918161869115"/>
        <n v="36.95991176605751"/>
        <n v="12.341928822878183"/>
        <n v="18.431981150242986"/>
        <n v="20.175942847649114"/>
        <n v="23.8399325129551"/>
        <n v="16.757960187673667"/>
        <n v="50.39994063960822"/>
        <n v="51.02297600343767"/>
        <n v="27.4298095703125"/>
        <n v="46.68295726317979"/>
        <n v="21.199852778800146"/>
        <n v="50.039816602316606"/>
        <n v="17.419619706136558"/>
        <n v="24.529998303583213"/>
        <n v="34.36796740322834"/>
        <n v="38.45567315352225"/>
        <n v="37.01099058975649"/>
        <n v="32.37285097611615"/>
        <n v="33.83096262859542"/>
        <n v="28.907879208608126"/>
        <n v="29.183952114122185"/>
        <n v="20.44888582586722"/>
        <n v="28.354932557524464"/>
        <n v="16.439945896179772"/>
        <n v="21.835702843412097"/>
        <n v="53.76980460210498"/>
        <n v="23.48387830722226"/>
        <n v="33.38990609431342"/>
        <n v="54.70791440543336"/>
        <n v="23.219831884883884"/>
        <n v="20.971998513195388"/>
        <n v="30.133940015380674"/>
        <n v="39.24496526559539"/>
        <n v="47.98791466608468"/>
        <n v="52.391989640423276"/>
        <n v="27.57986018936377"/>
        <n v="21.58295174357168"/>
        <n v="22.03183870201283"/>
        <n v="29.067869300667436"/>
        <n v="45.08997162433386"/>
        <n v="34.36775699086343"/>
        <n v="16.778922619459237"/>
        <n v="43.038960400903996"/>
        <n v="41.90498777684533"/>
        <n v="28.18362340848032"/>
        <n v="36.827895801719784"/>
        <n v="17.19995780089937"/>
        <n v="40.1309928057554"/>
        <n v="32.48672019765288"/>
        <n v="39.51582300719121"/>
        <n v="36.659908768373036"/>
        <n v="29.582899876342083"/>
        <n v="38.68994317203375"/>
        <n v="16.769943946453488"/>
        <n v="35.01390705108247"/>
        <n v="46.13595085470085"/>
        <n v="22.01597461567919"/>
        <n v="35.307862126754436"/>
        <n v="40.17198190884843"/>
        <n v="38.079807405513655"/>
        <n v="40.44297845080213"/>
        <n v="18.143997758789748"/>
        <n v="43.21797304686244"/>
        <n v="14.749800017776195"/>
        <n v="29.171804268161242"/>
        <n v="40.90571685124215"/>
        <n v="23.21397013843261"/>
        <n v="12.655758660360474"/>
        <n v="27.26298250485976"/>
        <n v="51.039965780811215"/>
        <n v="22.74990364341261"/>
        <n v="31.41598566835996"/>
        <n v="19.42488117379624"/>
        <n v="43.84480298540226"/>
        <n v="21.85484503726952"/>
        <n v="17.70993804026441"/>
        <n v="41.96392459181042"/>
        <n v="31.517921331005443"/>
        <n v="34.07990925132342"/>
        <n v="14.489941941287103"/>
        <n v="58.01587913358514"/>
        <n v="19.823949408404733"/>
        <n v="14.139836100794941"/>
        <n v="40.33693806417017"/>
        <n v="23.0949947713661"/>
        <n v="31.061946902654864"/>
        <n v="19.36993535463899"/>
        <n v="27.403915343915344"/>
        <n v="46.859888571961726"/>
        <n v="27.059889932016837"/>
        <n v="24.33893176635678"/>
        <n v="29.183973004855837"/>
        <n v="34.787378805919374"/>
        <n v="33.251906241174815"/>
        <n v="18.695541401273886"/>
        <n v="43.77097292208871"/>
        <n v="29.639975660326332"/>
        <n v="38.21958456973294"/>
        <n v="30.928892949460735"/>
        <n v="28.8639238442981"/>
        <n v="42.90385771973537"/>
        <n v="24.794932758748793"/>
        <n v="17.933851834393906"/>
        <n v="39.399632428017156"/>
        <n v="20.43696946113825"/>
        <n v="27.3419849912543"/>
        <n v="26.19983889865261"/>
        <n v="30.507584597432906"/>
        <n v="31.891975440242184"/>
        <n v="30.875937008517333"/>
        <n v="47.99975636496528"/>
        <n v="26.200426991007312"/>
        <n v="22.711871401745736"/>
        <n v="28.195882962195753"/>
        <n v="34.00989633898093"/>
        <n v="17.299883759812744"/>
        <n v="20.444969665388765"/>
        <n v="17.495898125310948"/>
        <n v="25.741896210622432"/>
        <n v="16.967883612407356"/>
        <n v="46.02497379062453"/>
        <n v="29.919879375591297"/>
        <n v="24.649400399733512"/>
        <n v="18.58456394538869"/>
        <n v="25.089861553014014"/>
        <n v="20.348970314084184"/>
        <n v="39.60089495525224"/>
        <n v="46.55987828732884"/>
        <n v="35.08995259982763"/>
        <n v="23.606976572315425"/>
        <n v="33.151991570658126"/>
        <n v="21.352978922947823"/>
        <n v="18.67553338875035"/>
        <n v="38.78087269257587"/>
        <n v="39.749907051679266"/>
        <n v="41.180850379518844"/>
        <n v="43.62389639467725"/>
        <n v="20.501898899947616"/>
        <n v="26.495976257062953"/>
        <n v="24.177836358106052"/>
        <n v="45.599999999999994"/>
        <n v="25.055983396143972"/>
        <n v="42.179924582510324"/>
        <n v="21.92398089791763"/>
        <n v="20.348982803579432"/>
        <n v="21.975972033523135"/>
        <n v="14.93468027714603"/>
        <n v="30.671935863755774"/>
        <n v="40.39182488813641"/>
        <n v="32.02790664221239"/>
        <n v="17.489946504334995"/>
        <n v="31.13189585415774"/>
        <n v="18.61978947368421"/>
        <n v="21.024459193706985"/>
        <n v="24.419957368402038"/>
        <n v="33.40799906716418"/>
        <n v="21.215873338069624"/>
        <n v="14.599986565459798"/>
        <n v="34.103799711975185"/>
        <n v="22.1998788762684"/>
        <n v="24.59954595850272"/>
        <n v="18.053992140134685"/>
        <n v="21.06299917624727"/>
        <n v="31.53996339231238"/>
        <n v="23.12493251268761"/>
        <n v="38.93990334103803"/>
        <n v="42.71958666040394"/>
        <n v="23.110932557642823"/>
        <n v="28.055555555555557"/>
        <n v="36.03539543335704"/>
        <n v="34.71954161640531"/>
        <n v="30.679986890729715"/>
        <n v="33.7348450830714"/>
        <n v="26.56491634847534"/>
        <n v="35.69987775061125"/>
        <n v="26.10759493670886"/>
        <n v="11.799988725407294"/>
        <n v="25.784848147736124"/>
        <n v="29.040895865319577"/>
        <n v="26.72997071265864"/>
        <n v="19.151865008880993"/>
        <n v="13.055950474202314"/>
        <n v="35.6249033582142"/>
        <n v="21.887973958979877"/>
        <n v="20.76796335656501"/>
        <n v="23.861904324671748"/>
        <n v="16.26073560562295"/>
        <n v="35.84992170629113"/>
        <n v="17.999968228248264"/>
        <n v="24.331941757458505"/>
        <n v="21.944896535689377"/>
        <n v="18.719461327612915"/>
        <n v="25.991930996104617"/>
        <n v="44.269988852857715"/>
        <n v="41.83176392081263"/>
        <n v="41.975871593100216"/>
        <n v="29.39992396502391"/>
        <n v="29.289963105187866"/>
        <n v="21.343843454510882"/>
        <n v="44.10888895175054"/>
        <n v="15.553905983130566"/>
        <n v="47.381851551194714"/>
        <n v="31.615882196795056"/>
        <n v="31.043977627714696"/>
        <n v="38.115002040041084"/>
        <n v="35.155813114458375"/>
        <n v="23.127980550447276"/>
        <n v="17.099691735008435"/>
        <n v="29.895962887983078"/>
        <n v="53.81901655189079"/>
        <n v="45.591960505149494"/>
        <n v="34.124958859023586"/>
        <n v="21.894976678202177"/>
        <n v="27.720025672633174"/>
        <n v="46.586950279944496"/>
        <n v="34.19099721662348"/>
        <n v="15.289875395648863"/>
        <n v="19.59195548062721"/>
        <n v="16.156961239435027"/>
        <n v="28.29593162734906"/>
        <n v="13.189000596795665"/>
        <n v="21.900743166645672"/>
        <n v="26.44195307492671"/>
        <n v="38.92987454390963"/>
        <n v="19.51094792609731"/>
        <n v="36.59991220185212"/>
        <n v="27.30582606248241"/>
      </sharedItems>
    </cacheField>
    <cacheField name="Spend" numFmtId="165">
      <sharedItems containsSemiMixedTypes="0" containsString="0" containsNumber="1">
        <n v="642.96"/>
        <n v="2194.82"/>
        <n v="312.63"/>
        <n v="1265.33"/>
        <n v="798.68"/>
        <n v="1987.27"/>
        <n v="1259.46"/>
        <n v="660.13"/>
        <n v="2344.98"/>
        <n v="2322.43"/>
        <n v="1417.35"/>
        <n v="2164.23"/>
        <n v="2182.66"/>
        <n v="2349.29"/>
        <n v="2575.31"/>
        <n v="1167.01"/>
        <n v="3888.94"/>
        <n v="1943.74"/>
        <n v="1276.79"/>
        <n v="1275.45"/>
        <n v="2436.71"/>
        <n v="712.38"/>
        <n v="161.28"/>
        <n v="1732.34"/>
        <n v="2397.72"/>
        <n v="590.6"/>
        <n v="758.08"/>
        <n v="1241.82"/>
        <n v="881.54"/>
        <n v="2331.85"/>
        <n v="2489.91"/>
        <n v="3027.05"/>
        <n v="758.52"/>
        <n v="742.29"/>
        <n v="450.2"/>
        <n v="3675.65"/>
        <n v="1395.36"/>
        <n v="3535.9"/>
        <n v="962.76"/>
        <n v="3017.22"/>
        <n v="1244.41"/>
        <n v="2082.8"/>
        <n v="1761.51"/>
        <n v="764.66"/>
        <n v="2452.7"/>
        <n v="3415.0"/>
        <n v="350.7"/>
        <n v="354.88"/>
        <n v="1396.96"/>
        <n v="1183.78"/>
        <n v="2128.06"/>
        <n v="1580.94"/>
        <n v="1567.47"/>
        <n v="1505.39"/>
        <n v="627.69"/>
        <n v="1027.5"/>
        <n v="2952.75"/>
        <n v="2246.22"/>
        <n v="276.19"/>
        <n v="1708.95"/>
        <n v="2066.17"/>
        <n v="693.67"/>
        <n v="815.63"/>
        <n v="2298.79"/>
        <n v="1623.95"/>
        <n v="610.49"/>
        <n v="2104.38"/>
        <n v="2804.7"/>
        <n v="2983.13"/>
        <n v="964.73"/>
        <n v="2092.2"/>
        <n v="695.35"/>
        <n v="1170.91"/>
        <n v="318.83"/>
        <n v="860.69"/>
        <n v="2571.72"/>
        <n v="1041.21"/>
        <n v="838.12"/>
        <n v="1620.32"/>
        <n v="1431.27"/>
        <n v="1204.29"/>
        <n v="2123.52"/>
        <n v="200.34"/>
        <n v="3369.64"/>
        <n v="612.61"/>
        <n v="1357.92"/>
        <n v="425.21"/>
        <n v="3984.91"/>
        <n v="962.73"/>
        <n v="912.16"/>
        <n v="1737.23"/>
        <n v="3305.7"/>
        <n v="494.99"/>
        <n v="3020.15"/>
        <n v="763.09"/>
        <n v="2802.72"/>
        <n v="3657.62"/>
        <n v="3779.68"/>
        <n v="847.75"/>
        <n v="1130.17"/>
        <n v="2600.72"/>
        <n v="2048.97"/>
        <n v="732.58"/>
        <n v="1440.93"/>
        <n v="3919.27"/>
        <n v="395.76"/>
        <n v="1823.87"/>
        <n v="2580.61"/>
        <n v="740.74"/>
        <n v="1266.15"/>
        <n v="3423.68"/>
        <n v="3707.18"/>
        <n v="2062.64"/>
        <n v="1966.67"/>
        <n v="2082.97"/>
        <n v="1734.3"/>
        <n v="1013.82"/>
        <n v="831.84"/>
        <n v="1103.42"/>
        <n v="2335.41"/>
        <n v="326.62"/>
        <n v="1743.12"/>
        <n v="2214.05"/>
        <n v="2073.67"/>
        <n v="3057.2"/>
        <n v="966.6"/>
        <n v="3561.91"/>
        <n v="574.61"/>
        <n v="2397.42"/>
        <n v="3776.6"/>
        <n v="461.89"/>
        <n v="1290.61"/>
        <n v="1068.08"/>
        <n v="2969.24"/>
        <n v="360.28"/>
        <n v="1483.89"/>
        <n v="1299.5"/>
        <n v="2474.88"/>
        <n v="2412.78"/>
        <n v="992.18"/>
        <n v="1627.12"/>
        <n v="1214.39"/>
        <n v="1780.39"/>
        <n v="1471.55"/>
        <n v="3396.2"/>
        <n v="3799.63"/>
        <n v="898.82"/>
        <n v="3591.6"/>
        <n v="1267.2"/>
        <n v="2073.65"/>
        <n v="403.09"/>
        <n v="1301.39"/>
        <n v="3289.53"/>
        <n v="1013.73"/>
        <n v="2060.92"/>
        <n v="2167.33"/>
        <n v="2578.19"/>
        <n v="2082.09"/>
        <n v="2671.82"/>
        <n v="890.14"/>
        <n v="2465.83"/>
        <n v="1446.37"/>
        <n v="436.19"/>
        <n v="2385.82"/>
        <n v="1445.01"/>
        <n v="2620.54"/>
        <n v="5131.11"/>
        <n v="651.92"/>
        <n v="677.06"/>
        <n v="1410.63"/>
        <n v="2237.12"/>
        <n v="3518.09"/>
        <n v="4005.42"/>
        <n v="1870.08"/>
        <n v="1531.85"/>
        <n v="649.08"/>
        <n v="2168.87"/>
        <n v="1303.01"/>
        <n v="868.92"/>
        <n v="485.28"/>
        <n v="1752.03"/>
        <n v="3445.47"/>
        <n v="723.84"/>
        <n v="2329.88"/>
        <n v="1304.29"/>
        <n v="3486.38"/>
        <n v="788.94"/>
        <n v="1686.97"/>
        <n v="2676.21"/>
        <n v="1507.16"/>
        <n v="1797.38"/>
        <n v="1418.1"/>
        <n v="3373.73"/>
        <n v="1727.33"/>
        <n v="1207.29"/>
        <n v="2191.1"/>
        <n v="3464.03"/>
        <n v="1787.39"/>
        <n v="2967.18"/>
        <n v="518.12"/>
        <n v="1343.69"/>
        <n v="331.9"/>
        <n v="676.64"/>
        <n v="683.33"/>
        <n v="2049.19"/>
        <n v="495.03"/>
        <n v="490.87"/>
        <n v="2744.47"/>
        <n v="2006.86"/>
        <n v="1280.17"/>
        <n v="939.97"/>
        <n v="1597.88"/>
        <n v="1114.16"/>
        <n v="940.38"/>
        <n v="3091.86"/>
        <n v="1227.56"/>
        <n v="1351.95"/>
        <n v="708.79"/>
        <n v="3763.2"/>
        <n v="1943.54"/>
        <n v="460.69"/>
        <n v="2256.65"/>
        <n v="1943.49"/>
        <n v="537.03"/>
        <n v="1063.7"/>
        <n v="2589.67"/>
        <n v="3515.71"/>
        <n v="835.88"/>
        <n v="2220.1"/>
        <n v="2127.57"/>
        <n v="409.03"/>
        <n v="470.98"/>
        <n v="220.14"/>
        <n v="2371.38"/>
        <n v="2630.37"/>
        <n v="914.48"/>
        <n v="2775.93"/>
        <n v="2213.43"/>
        <n v="2496.79"/>
        <n v="667.43"/>
        <n v="913.12"/>
        <n v="578.82"/>
        <n v="1418.06"/>
        <n v="2422.91"/>
        <n v="1431.14"/>
        <n v="679.77"/>
        <n v="2991.85"/>
        <n v="3023.31"/>
        <n v="1576.12"/>
        <n v="404.98"/>
        <n v="1100.64"/>
        <n v="435.57"/>
        <n v="2171.94"/>
        <n v="1086.45"/>
        <n v="1098.59"/>
        <n v="1652.82"/>
        <n v="2029.8"/>
        <n v="927.21"/>
        <n v="2458.47"/>
        <n v="1012.01"/>
        <n v="295.99"/>
        <n v="266.8"/>
        <n v="291.77"/>
        <n v="1866.55"/>
        <n v="3168.23"/>
        <n v="1071.11"/>
        <n v="1954.37"/>
        <n v="1597.13"/>
        <n v="2391.22"/>
        <n v="865.18"/>
        <n v="269.6"/>
        <n v="1056.74"/>
        <n v="1603.71"/>
        <n v="2560.79"/>
        <n v="3429.1"/>
        <n v="1878.63"/>
        <n v="2321.18"/>
        <n v="1192.33"/>
        <n v="2456.7"/>
        <n v="458.75"/>
        <n v="3523.5"/>
        <n v="1464.5"/>
        <n v="1771.44"/>
        <n v="1439.58"/>
        <n v="282.37"/>
        <n v="2708.7"/>
        <n v="1336.0"/>
        <n v="1781.2"/>
        <n v="948.13"/>
        <n v="1308.1"/>
        <n v="442.22"/>
        <n v="342.11"/>
        <n v="2027.76"/>
        <n v="2865.07"/>
        <n v="1254.24"/>
        <n v="869.4"/>
        <n v="615.71"/>
        <n v="1796.17"/>
        <n v="465.94"/>
        <n v="914.2"/>
        <n v="1176.2"/>
        <n v="3101.64"/>
        <n v="1499.12"/>
        <n v="1853.15"/>
        <n v="727.6"/>
        <n v="2272.29"/>
        <n v="370.67"/>
        <n v="456.1"/>
        <n v="690.78"/>
        <n v="2714.78"/>
        <n v="1202.04"/>
        <n v="2497.66"/>
        <n v="2453.01"/>
        <n v="536.25"/>
        <n v="418.64"/>
        <n v="1390.68"/>
        <n v="2704.84"/>
        <n v="2053.53"/>
        <n v="1337.03"/>
        <n v="725.48"/>
        <n v="2534.32"/>
        <n v="1586.9"/>
        <n v="1260.47"/>
        <n v="1819.16"/>
        <n v="422.21"/>
        <n v="3502.86"/>
        <n v="1133.08"/>
        <n v="1194.82"/>
        <n v="377.54"/>
        <n v="314.15"/>
        <n v="373.66"/>
        <n v="3494.85"/>
        <n v="1128.37"/>
        <n v="1610.95"/>
        <n v="2938.64"/>
        <n v="2723.0"/>
        <n v="1234.72"/>
        <n v="4677.88"/>
        <n v="1183.87"/>
        <n v="2684.94"/>
        <n v="2262.97"/>
        <n v="3319.16"/>
        <n v="2709.1"/>
        <n v="1559.09"/>
        <n v="1484.03"/>
        <n v="587.99"/>
        <n v="3293.13"/>
        <n v="1336.38"/>
        <n v="4931.5"/>
        <n v="3110.49"/>
        <n v="1018.62"/>
        <n v="2720.97"/>
        <n v="3894.11"/>
        <n v="3562.36"/>
        <n v="381.62"/>
        <n v="1313.19"/>
        <n v="1145.06"/>
        <n v="2264.58"/>
        <n v="1436.48"/>
        <n v="695.48"/>
        <n v="2516.56"/>
        <n v="3894.35"/>
        <n v="1163.75"/>
        <n v="1750.83"/>
        <n v="2425.44"/>
      </sharedItems>
    </cacheField>
    <cacheField name="Conversion rate" numFmtId="10">
      <sharedItems containsSemiMixedTypes="0" containsString="0" containsNumber="1">
        <n v="0.017241379310344827"/>
        <n v="0.023432552248258392"/>
        <n v="0.021739130434782608"/>
        <n v="0.018518518518518517"/>
        <n v="0.023465703971119134"/>
        <n v="0.014746543778801843"/>
        <n v="0.02086677367576244"/>
        <n v="0.02278481012658228"/>
        <n v="0.018561484918793503"/>
        <n v="0.012195121951219513"/>
        <n v="0.021711366538952746"/>
        <n v="0.012648221343873518"/>
        <n v="0.01485148514851485"/>
        <n v="0.02037617554858934"/>
        <n v="0.013304949441192123"/>
        <n v="0.018867924528301886"/>
        <n v="0.02371364653243848"/>
        <n v="0.013588634959851761"/>
        <n v="0.02328589909443726"/>
        <n v="0.01556420233463035"/>
        <n v="0.01784534038334435"/>
        <n v="0.01968503937007874"/>
        <n v="0.021071115013169446"/>
        <n v="0.022672064777327937"/>
        <n v="0.018633540372670808"/>
        <n v="0.017766497461928935"/>
        <n v="0.02452316076294278"/>
        <n v="0.017711171662125342"/>
        <n v="0.01673360107095047"/>
        <n v="0.018796992481203006"/>
        <n v="0.02071563088512241"/>
        <n v="0.019230769230769232"/>
        <n v="0.02384737678855326"/>
        <n v="0.017114914425427872"/>
        <n v="0.015988372093023256"/>
        <n v="0.019940179461615155"/>
        <n v="0.01765504753282028"/>
        <n v="0.017957351290684626"/>
        <n v="0.014221073044602456"/>
        <n v="0.024977698483496878"/>
        <n v="0.015598885793871866"/>
        <n v="0.01590005678591709"/>
        <n v="0.023575638506876228"/>
        <n v="0.020521353300055462"/>
        <n v="0.012813941568426449"/>
        <n v="0.016304347826086956"/>
        <n v="0.012838801711840228"/>
        <n v="0.01824212271973466"/>
        <n v="0.022894521668029435"/>
        <n v="0.014358974358974359"/>
        <n v="0.016375545851528384"/>
        <n v="0.024312896405919663"/>
        <n v="0.012448132780082987"/>
        <n v="0.017758046614872364"/>
        <n v="0.016241299303944315"/>
        <n v="0.012403100775193798"/>
        <n v="0.011834319526627219"/>
        <n v="0.02207001522070015"/>
        <n v="0.01770592763664357"/>
        <n v="0.022887323943661973"/>
        <n v="0.01953125"/>
        <n v="0.022970903522205207"/>
        <n v="0.015026296018031555"/>
        <n v="0.016891891891891893"/>
        <n v="0.02367758186397985"/>
        <n v="0.022455805064500716"/>
        <n v="0.020010261672652643"/>
        <n v="0.012239902080783354"/>
        <n v="0.017555266579973992"/>
        <n v="0.01972386587771203"/>
        <n v="0.012861736334405145"/>
        <n v="0.016181229773462782"/>
        <n v="0.01768172888015717"/>
        <n v="0.02450646698434309"/>
        <n v="0.014992503748125937"/>
        <n v="0.02249134948096886"/>
        <n v="0.02391304347826087"/>
        <n v="0.018494055482166448"/>
        <n v="0.014955134596211365"/>
        <n v="0.016939252336448597"/>
        <n v="0.008064516129032258"/>
        <n v="0.01683867463335144"/>
        <n v="0.022071307300509338"/>
        <n v="0.019337016574585635"/>
        <n v="0.016025641025641024"/>
        <n v="0.0149118843199277"/>
        <n v="0.0158311345646438"/>
        <n v="0.020114942528735632"/>
        <n v="0.020868113522537562"/>
        <n v="0.024151811385853938"/>
        <n v="0.021538461538461538"/>
        <n v="0.023480662983425413"/>
        <n v="0.015625"/>
        <n v="0.017927170868347338"/>
        <n v="0.02034058656575213"/>
        <n v="0.01504149377593361"/>
        <n v="0.020100502512562814"/>
        <n v="0.01380897583429229"/>
        <n v="0.018925831202046037"/>
        <n v="0.012612612612612612"/>
        <n v="0.013856812933025405"/>
        <n v="0.020854021847070508"/>
        <n v="0.01819100555836281"/>
        <n v="0.022284122562674095"/>
        <n v="0.018975332068311195"/>
        <n v="0.02476609796367639"/>
        <n v="0.010050251256281407"/>
        <n v="0.023776223776223775"/>
        <n v="0.023718763235916984"/>
        <n v="0.0136986301369863"/>
        <n v="0.019398642095053348"/>
        <n v="0.02453385672227674"/>
        <n v="0.024015369836695485"/>
        <n v="0.020768431983385256"/>
        <n v="0.016363636363636365"/>
        <n v="0.01859799713876967"/>
        <n v="0.017814726840855107"/>
        <n v="0.018422991893883568"/>
        <n v="0.0182648401826484"/>
        <n v="0.018461538461538463"/>
        <n v="0.019636363636363636"/>
        <n v="0.020802377414561663"/>
        <n v="0.024473534433693798"/>
        <n v="0.018660812294182216"/>
        <n v="0.014380530973451327"/>
        <n v="0.013157894736842105"/>
        <n v="0.022900763358778626"/>
        <n v="0.02066115702479339"/>
        <n v="0.014416775884665793"/>
        <n v="0.016927083333333332"/>
        <n v="0.013140604467805518"/>
        <n v="0.022922636103151862"/>
        <n v="0.02443133951137321"/>
        <n v="0.015479876160990712"/>
        <n v="0.02390998593530239"/>
        <n v="0.022988505747126436"/>
        <n v="0.013431013431013432"/>
        <n v="0.022143489813994686"/>
        <n v="0.0224"/>
        <n v="0.0170863309352518"/>
        <n v="0.016983016983016984"/>
        <n v="0.013785790031813362"/>
        <n v="0.021265560165975105"/>
        <n v="0.013024602026049204"/>
        <n v="0.021904761904761906"/>
        <n v="0.02367797947908445"/>
        <n v="0.017361111111111112"/>
        <n v="0.012903225806451613"/>
        <n v="0.0169061707523246"/>
        <n v="0.02276707530647986"/>
        <n v="0.023636363636363636"/>
        <n v="0.02461033634126333"/>
        <n v="0.02012072434607646"/>
        <n v="0.020527859237536656"/>
        <n v="0.02219403931515536"/>
        <n v="0.016770483948251078"/>
        <n v="0.013020833333333334"/>
        <n v="0.018912529550827423"/>
        <n v="0.02390438247011952"/>
        <n v="0.016574585635359115"/>
        <n v="0.024531024531024532"/>
        <n v="0.016123122022718945"/>
        <n v="0.011881188118811881"/>
        <n v="0.017391304347826087"/>
        <n v="0.01384083044982699"/>
        <n v="0.02389843166542196"/>
        <n v="0.019559902200488997"/>
        <n v="0.016799292661361626"/>
        <n v="0.02423603793466807"/>
        <n v="0.0199501246882793"/>
        <n v="0.017777777777777778"/>
        <n v="0.02260327357755261"/>
        <n v="0.018556701030927835"/>
        <n v="0.022113022113022112"/>
        <n v="0.017640573318632856"/>
        <n v="0.01893939393939394"/>
        <n v="0.012779552715654952"/>
        <n v="0.013803680981595092"/>
        <n v="0.012652889076339097"/>
        <n v="0.013059701492537313"/>
        <n v="0.0228270412642669"/>
        <n v="0.02178496134926212"/>
        <n v="0.02043132803632236"/>
        <n v="0.01380991064175467"/>
        <n v="0.015596330275229359"/>
        <n v="0.020128087831655993"/>
        <n v="0.018544935805991442"/>
        <n v="0.018600531443755536"/>
        <n v="0.02348993288590604"/>
        <n v="0.01567398119122257"/>
        <n v="0.012954966070326958"/>
        <n v="0.021645021645021644"/>
        <n v="0.014223194748358862"/>
        <n v="0.022641509433962263"/>
        <n v="0.013850415512465374"/>
        <n v="0.01856763925729443"/>
        <n v="0.016554578375581996"/>
        <n v="0.018140589569160998"/>
        <n v="0.0223463687150838"/>
        <n v="0.012187299550994226"/>
        <n v="0.017452006980802792"/>
        <n v="0.016511867905056758"/>
        <n v="0.016548463356973995"/>
        <n v="0.01853997682502897"/>
        <n v="0.016455696202531647"/>
        <n v="0.02224824355971897"/>
        <n v="0.02170620898536093"/>
        <n v="0.017456359102244388"/>
        <n v="0.018957345971563982"/>
        <n v="0.021103896103896104"/>
        <n v="0.023958333333333335"/>
        <n v="0.021250758955676987"/>
        <n v="0.0243161094224924"/>
        <n v="0.01283147989734816"/>
        <n v="0.020833333333333332"/>
        <n v="0.012622720897615708"/>
        <n v="0.01867816091954023"/>
        <n v="0.012206572769953052"/>
        <n v="0.011857707509881422"/>
        <n v="0.020610057708161583"/>
        <n v="0.024303073624017155"/>
        <n v="0.019083969465648856"/>
        <n v="0.013888888888888888"/>
        <n v="0.015544041450777202"/>
        <n v="0.012829650748396294"/>
        <n v="0.014737754659731253"/>
        <n v="0.021337126600284494"/>
        <n v="0.017033356990773598"/>
        <n v="0.01988862370723946"/>
        <n v="0.017325017325017324"/>
        <n v="0.010256410256410256"/>
        <n v="0.020933977455716585"/>
        <n v="0.01730103806228374"/>
        <n v="0.015849056603773583"/>
        <n v="0.02304147465437788"/>
        <n v="0.016771488469601678"/>
        <n v="0.011945392491467578"/>
        <n v="0.02028639618138425"/>
        <n v="0.01757276221856123"/>
        <n v="0.013414634146341463"/>
        <n v="0.00975609756097561"/>
        <n v="0.02276176024279211"/>
        <n v="0.016488046166529265"/>
        <n v="0.02388535031847134"/>
        <n v="0.01540436456996149"/>
        <n v="0.02287581699346405"/>
        <n v="0.022850270595309682"/>
        <n v="0.014519056261343012"/>
        <n v="0.014245014245014245"/>
        <n v="0.019130434782608695"/>
        <n v="0.013333333333333334"/>
        <n v="0.019867549668874173"/>
        <n v="0.01781895937277263"/>
        <n v="0.019472361809045227"/>
        <n v="0.014947683109118086"/>
        <n v="0.023529411764705882"/>
        <n v="0.014908256880733946"/>
        <n v="0.021212121212121213"/>
        <n v="0.021551724137931036"/>
        <n v="0.01683816651075772"/>
        <n v="0.020496894409937887"/>
        <n v="0.021729490022172948"/>
        <n v="0.021184139054861488"/>
        <n v="0.022967101179391682"/>
        <n v="0.020671834625323"/>
        <n v="0.017014694508894045"/>
        <n v="0.012658227848101266"/>
        <n v="0.02100840336134454"/>
        <n v="0.012048192771084338"/>
        <n v="0.024193548387096774"/>
        <n v="0.01675977653631285"/>
        <n v="0.010948905109489052"/>
        <n v="0.019537480063795853"/>
        <n v="0.018327605956471937"/>
        <n v="0.021164021164021163"/>
        <n v="0.017421602787456445"/>
        <n v="0.015235457063711912"/>
        <n v="0.022222222222222223"/>
        <n v="0.01276595744680851"/>
        <n v="0.019715224534501644"/>
        <n v="0.01860231271995978"/>
        <n v="0.015184381778741865"/>
        <n v="0.020713463751438434"/>
        <n v="0.020754716981132074"/>
        <n v="0.02225886232481451"/>
        <n v="0.017204301075268817"/>
        <n v="0.016741071428571428"/>
        <n v="0.02125506072874494"/>
        <n v="0.016595289079229122"/>
        <n v="0.01834862385321101"/>
        <n v="0.021382751247327157"/>
        <n v="0.01762114537444934"/>
        <n v="0.013851891315929675"/>
        <n v="0.01809954751131222"/>
        <n v="0.02231237322515213"/>
        <n v="0.022605363984674328"/>
        <n v="0.01729106628242075"/>
        <n v="0.023952095808383235"/>
        <n v="0.023853211009174313"/>
        <n v="0.01996007984031936"/>
        <n v="0.023923444976076555"/>
        <n v="0.020604395604395604"/>
        <n v="0.012536564981195153"/>
        <n v="0.01499605367008682"/>
        <n v="0.015358361774744027"/>
        <n v="0.02120141342756184"/>
        <n v="0.0246669955599408"/>
        <n v="0.022030651340996167"/>
        <n v="0.015363128491620111"/>
        <n v="0.023004059539918808"/>
        <n v="0.014561027837259101"/>
        <n v="0.011920529801324504"/>
        <n v="0.013227513227513227"/>
        <n v="0.012244897959183673"/>
        <n v="0.013050570962479609"/>
        <n v="0.014727540500736377"/>
        <n v="0.017769002961500493"/>
        <n v="0.012668573763792398"/>
        <n v="0.018114011720831113"/>
        <n v="0.01791044776119403"/>
        <n v="0.022406938923021324"/>
        <n v="0.024739583333333332"/>
        <n v="0.013625592417061612"/>
        <n v="0.020161290322580645"/>
        <n v="0.01920768307322929"/>
        <n v="0.022560975609756097"/>
        <n v="0.014492753623188406"/>
        <n v="0.011904761904761904"/>
        <n v="0.011661807580174927"/>
        <n v="0.022482014388489208"/>
        <n v="0.014844804318488529"/>
        <n v="0.019627411842980707"/>
        <n v="0.021704180064308683"/>
        <n v="0.01337295690936107"/>
        <n v="0.019417475728155338"/>
        <n v="0.014705882352941176"/>
        <n v="0.01250459727841118"/>
        <n v="0.014598540145985401"/>
        <n v="0.014177693761814745"/>
        <n v="0.022457067371202115"/>
        <n v="0.017939814814814815"/>
        <n v="0.017463933181473046"/>
        <n v="0.013937282229965157"/>
        <n v="0.013488372093023256"/>
        <n v="0.01703056768558952"/>
        <n v="0.013120899718837863"/>
        <n v="0.018010291595197257"/>
        <n v="0.0173992673992674"/>
      </sharedItems>
    </cacheField>
    <cacheField name="Conversions" numFmtId="0">
      <sharedItems containsSemiMixedTypes="0" containsString="0" containsNumber="1" containsInteger="1">
        <n v="9.0"/>
        <n v="37.0"/>
        <n v="6.0"/>
        <n v="13.0"/>
        <n v="16.0"/>
        <n v="26.0"/>
        <n v="32.0"/>
        <n v="17.0"/>
        <n v="27.0"/>
        <n v="25.0"/>
        <n v="11.0"/>
        <n v="53.0"/>
        <n v="22.0"/>
        <n v="18.0"/>
        <n v="10.0"/>
        <n v="3.0"/>
        <n v="24.0"/>
        <n v="28.0"/>
        <n v="7.0"/>
        <n v="30.0"/>
        <n v="55.0"/>
        <n v="8.0"/>
        <n v="15.0"/>
        <n v="33.0"/>
        <n v="20.0"/>
        <n v="39.0"/>
        <n v="12.0"/>
        <n v="4.0"/>
        <n v="14.0"/>
        <n v="23.0"/>
        <n v="35.0"/>
        <n v="2.0"/>
        <n v="29.0"/>
        <n v="47.0"/>
        <n v="5.0"/>
        <n v="36.0"/>
        <n v="1.0"/>
        <n v="31.0"/>
        <n v="21.0"/>
        <n v="42.0"/>
        <n v="51.0"/>
        <n v="43.0"/>
        <n v="45.0"/>
        <n v="56.0"/>
        <n v="40.0"/>
        <n v="34.0"/>
        <n v="19.0"/>
        <n v="41.0"/>
        <n v="46.0"/>
        <n v="44.0"/>
        <n v="38.0"/>
        <n v="63.0"/>
        <n v="49.0"/>
        <n v="59.0"/>
        <n v="52.0"/>
        <n v="50.0"/>
        <n v="62.0"/>
        <n v="54.0"/>
      </sharedItems>
    </cacheField>
    <cacheField name="Avg. conversion value" numFmtId="165">
      <sharedItems containsSemiMixedTypes="0" containsString="0" containsNumber="1">
        <n v="153.89222222222222"/>
        <n v="148.91351351351352"/>
        <n v="116.69833333333334"/>
        <n v="209.85076923076923"/>
        <n v="211.40692307692308"/>
        <n v="183.449375"/>
        <n v="199.42346153846154"/>
        <n v="159.2888888888889"/>
        <n v="191.4246875"/>
        <n v="193.741875"/>
        <n v="185.65235294117647"/>
        <n v="194.40125"/>
        <n v="133.25703703703704"/>
        <n v="136.12538461538463"/>
        <n v="106.0052"/>
        <n v="133.09272727272727"/>
        <n v="161.93396226415095"/>
        <n v="151.5681818181818"/>
        <n v="137.32611111111112"/>
        <n v="202.38875"/>
        <n v="157.11111111111111"/>
        <n v="120.5"/>
        <n v="172.74333333333334"/>
        <n v="193.29333333333332"/>
        <n v="179.6967857142857"/>
        <n v="160.93666666666667"/>
        <n v="185.81"/>
        <n v="174.73777777777778"/>
        <n v="208.17538461538464"/>
        <n v="132.91559999999998"/>
        <n v="163.079"/>
        <n v="137.88327272727273"/>
        <n v="193.72125"/>
        <n v="155.37800000000001"/>
        <n v="141.61142857142858"/>
        <n v="202.16727272727275"/>
        <n v="118.62650000000001"/>
        <n v="160.26051282051282"/>
        <n v="190.596875"/>
        <n v="119.50727272727272"/>
        <n v="197.19178571428571"/>
        <n v="199.0717857142857"/>
        <n v="169.20035714285714"/>
        <n v="162.41416666666666"/>
        <n v="188.57405405405405"/>
        <n v="184.6836"/>
        <n v="176.9475"/>
        <n v="243.1"/>
        <n v="199.83333333333334"/>
        <n v="123.30909090909091"/>
        <n v="158.42535714285714"/>
        <n v="108.89571428571428"/>
        <n v="148.222"/>
        <n v="191.67608695652174"/>
        <n v="115.23"/>
        <n v="119.650625"/>
        <n v="162.59542857142858"/>
        <n v="201.385"/>
        <n v="190.54"/>
        <n v="151.9296551724138"/>
        <n v="160.68347826086955"/>
        <n v="188.28846153846155"/>
        <n v="204.678"/>
        <n v="110.57300000000001"/>
        <n v="201.317"/>
        <n v="113.09"/>
        <n v="103.54659574468084"/>
        <n v="147.59212765957446"/>
        <n v="189.78179487179486"/>
        <n v="189.53"/>
        <n v="183.5125925925926"/>
        <n v="128.54500000000002"/>
        <n v="124.44125"/>
        <n v="191.892"/>
        <n v="114.56666666666666"/>
        <n v="193.0225"/>
        <n v="106.79100000000001"/>
        <n v="190.01153846153846"/>
        <n v="185.07363636363635"/>
        <n v="109.51428571428572"/>
        <n v="146.804"/>
        <n v="139.35172413793103"/>
        <n v="203.21"/>
        <n v="122.9"/>
        <n v="109.4276923076923"/>
        <n v="127.38619047619048"/>
        <n v="199.852"/>
        <n v="170.38545454545456"/>
        <n v="111.87666666666667"/>
        <n v="117.36785714285715"/>
        <n v="105.13959999999999"/>
        <n v="108.45880952380953"/>
        <n v="117.36571428571428"/>
        <n v="127.22235294117647"/>
        <n v="103.34571428571428"/>
        <n v="154.998125"/>
        <n v="151.64953488372095"/>
        <n v="194.0644827586207"/>
        <n v="110.20833333333333"/>
        <n v="146.0175"/>
        <n v="191.72783783783785"/>
        <n v="112.83238095238096"/>
        <n v="151.17666666666665"/>
        <n v="156.65571428571428"/>
        <n v="169.0436111111111"/>
        <n v="163.73875"/>
        <n v="177.93800000000002"/>
        <n v="137.76577777777777"/>
        <n v="181.7025"/>
        <n v="192.53588235294117"/>
        <n v="178.62214285714285"/>
        <n v="170.94259259259258"/>
        <n v="150.5935"/>
        <n v="155.4184"/>
        <n v="180.0728"/>
        <n v="174.5815"/>
        <n v="134.14777777777778"/>
        <n v="175.29615384615383"/>
        <n v="134.69066666666666"/>
        <n v="132.63"/>
        <n v="147.965"/>
        <n v="112.08916666666666"/>
        <n v="131.04037037037037"/>
        <n v="165.62464285714285"/>
        <n v="168.8939534883721"/>
        <n v="161.69529411764708"/>
        <n v="115.27192307692309"/>
        <n v="163.32333333333335"/>
        <n v="151.31266666666667"/>
        <n v="145.3265"/>
        <n v="111.945"/>
        <n v="214.44000000000003"/>
        <n v="133.43769230769232"/>
        <n v="106.3905"/>
        <n v="115.08125"/>
        <n v="161.69344827586207"/>
        <n v="130.33866666666665"/>
        <n v="169.76588235294116"/>
        <n v="158.5197619047619"/>
        <n v="107.76090909090908"/>
        <n v="184.2624"/>
        <n v="152.86357142857145"/>
        <n v="174.2563157894737"/>
        <n v="151.4835294117647"/>
        <n v="138.13423076923075"/>
        <n v="155.03365853658536"/>
        <n v="190.82777777777778"/>
        <n v="181.81739130434784"/>
        <n v="127.777"/>
        <n v="192.75799999999998"/>
        <n v="164.1225"/>
        <n v="135.0665"/>
        <n v="109.17666666666668"/>
        <n v="192.33923076923077"/>
        <n v="110.89133333333332"/>
        <n v="126.97825"/>
        <n v="108.96428571428571"/>
        <n v="198.872"/>
        <n v="191.72714285714287"/>
        <n v="140.71125"/>
        <n v="135.882"/>
        <n v="184.55733333333333"/>
        <n v="183.88"/>
        <n v="160.629"/>
        <n v="175.43"/>
        <n v="179.29509803921567"/>
        <n v="157.68022727272728"/>
        <n v="199.92333333333332"/>
        <n v="146.535"/>
        <n v="183.41125"/>
        <n v="175.5453125"/>
        <n v="166.21475"/>
        <n v="158.85894736842107"/>
        <n v="163.40478260869565"/>
        <n v="138.0325"/>
        <n v="189.49125"/>
        <n v="146.81655172413795"/>
        <n v="154.45733333333334"/>
        <n v="166.16444444444446"/>
        <n v="152.24555555555557"/>
        <n v="154.653125"/>
        <n v="191.59466666666668"/>
        <n v="180.4257142857143"/>
        <n v="149.735625"/>
        <n v="188.29666666666668"/>
        <n v="145.93800000000002"/>
        <n v="124.76"/>
        <n v="167.9303846153846"/>
        <n v="108.05903225806452"/>
        <n v="102.88666666666667"/>
        <n v="125.13588235294117"/>
        <n v="178.7258823529412"/>
        <n v="153.79349206349207"/>
        <n v="198.69272727272727"/>
        <n v="201.09846153846155"/>
        <n v="173.99238095238096"/>
        <n v="141.7126530612245"/>
        <n v="193.4285"/>
        <n v="116.31714285714285"/>
        <n v="137.82"/>
        <n v="164.89923076923077"/>
        <n v="142.03333333333333"/>
        <n v="117.53399999999999"/>
        <n v="219.98285714285717"/>
        <n v="121.3446875"/>
        <n v="188.955"/>
        <n v="135.375"/>
        <n v="144.77421052631578"/>
        <n v="117.006"/>
        <n v="175.12"/>
        <n v="165.24"/>
        <n v="191.649375"/>
        <n v="170.53538461538463"/>
        <n v="116.4321052631579"/>
        <n v="139.16162790697675"/>
        <n v="137.82857142857142"/>
        <n v="125.731875"/>
        <n v="148.47692307692307"/>
        <n v="162.95"/>
        <n v="124.29285714285714"/>
        <n v="132.0175"/>
        <n v="160.32000000000002"/>
        <n v="109.825"/>
        <n v="200.60666666666668"/>
        <n v="119.93444444444445"/>
        <n v="204.56102564102565"/>
        <n v="135.22"/>
        <n v="167.51444444444445"/>
        <n v="140.5728"/>
        <n v="145.2414705882353"/>
        <n v="145.208"/>
        <n v="157.7925"/>
        <n v="234.30666666666664"/>
        <n v="184.1677777777778"/>
        <n v="179.9864705882353"/>
        <n v="155.426"/>
        <n v="187.9104166666667"/>
        <n v="152.9284"/>
        <n v="123.2524"/>
        <n v="168.3225"/>
        <n v="175.8023076923077"/>
        <n v="117.83800000000001"/>
        <n v="144.74095238095236"/>
        <n v="105.67033333333333"/>
        <n v="114.20583333333333"/>
        <n v="186.43714285714285"/>
        <n v="163.71627450980392"/>
        <n v="206.0315625"/>
        <n v="195.88181818181818"/>
        <n v="197.15"/>
        <n v="161.62133333333335"/>
        <n v="174.886"/>
        <n v="147.03699999999998"/>
        <n v="193.30133333333333"/>
        <n v="196.85083333333333"/>
        <n v="161.212"/>
        <n v="192.3413157894737"/>
        <n v="141.89"/>
        <n v="167.3725"/>
        <n v="126.02090909090909"/>
        <n v="195.25333333333333"/>
        <n v="124.3"/>
        <n v="142.68"/>
        <n v="168.74759999999998"/>
        <n v="191.17290322580644"/>
        <n v="206.40300000000002"/>
        <n v="110.17263157894737"/>
        <n v="116.06923076923077"/>
        <n v="179.5965789473684"/>
        <n v="188.09428571428572"/>
        <n v="126.668"/>
        <n v="126.10999999999999"/>
        <n v="111.72555555555556"/>
        <n v="169.3242424242424"/>
        <n v="104.80244897959183"/>
        <n v="176.67153846153846"/>
        <n v="198.79054054054055"/>
        <n v="134.510625"/>
        <n v="191.30545454545455"/>
        <n v="192.51"/>
        <n v="130.42675"/>
        <n v="175.38285714285715"/>
        <n v="128.66111111111113"/>
        <n v="139.82222222222222"/>
        <n v="165.63333333333333"/>
        <n v="125.28530612244897"/>
        <n v="146.960625"/>
        <n v="171.975"/>
        <n v="165.37133333333335"/>
        <n v="112.82181818181817"/>
        <n v="141.94"/>
        <n v="201.29333333333332"/>
        <n v="143.10055555555556"/>
        <n v="101.56270270270271"/>
        <n v="114.79928571428572"/>
        <n v="185.74277777777777"/>
        <n v="136.5381818181818"/>
        <n v="113.26814814814814"/>
        <n v="179.71"/>
        <n v="177.79733333333334"/>
        <n v="146.72619047619048"/>
        <n v="136.07225806451612"/>
        <n v="190.62318181818182"/>
        <n v="130.99833333333333"/>
        <n v="180.105"/>
        <n v="179.24115384615385"/>
        <n v="192.275"/>
        <n v="138.63"/>
        <n v="148.04454545454544"/>
        <n v="188.8135593220339"/>
        <n v="136.5325"/>
        <n v="173.1326923076923"/>
        <n v="167.3628205128205"/>
        <n v="157.119"/>
        <n v="132.169"/>
        <n v="198.696"/>
        <n v="114.25"/>
        <n v="144.06105263157895"/>
        <n v="121.48055555555555"/>
        <n v="131.65916666666666"/>
        <n v="137.316"/>
        <n v="159.00782608695653"/>
        <n v="148.06636363636363"/>
        <n v="174.06058823529412"/>
        <n v="199.91"/>
        <n v="121.98235294117646"/>
        <n v="192.30444444444444"/>
        <n v="156.053"/>
        <n v="201.38666666666666"/>
        <n v="133.08666666666667"/>
        <n v="201.90666666666667"/>
        <n v="108.24833333333333"/>
        <n v="180.649"/>
        <n v="163.31333333333333"/>
        <n v="178.67032258064515"/>
        <n v="196.255"/>
        <n v="218.77833333333334"/>
        <n v="183.5708064516129"/>
        <n v="121.38157894736842"/>
        <n v="193.75347826086957"/>
        <n v="150.44333333333333"/>
        <n v="202.276875"/>
        <n v="126.18054054054055"/>
        <n v="126.05416666666667"/>
        <n v="207.19222222222223"/>
        <n v="142.6325"/>
        <n v="120.7422"/>
        <n v="198.03"/>
        <n v="103.9713559322034"/>
        <n v="200.9148148148148"/>
        <n v="186.63444444444445"/>
        <n v="174.018125"/>
        <n v="143.64111111111112"/>
        <n v="170.51970588235295"/>
        <n v="208.2175"/>
        <n v="120.68666666666667"/>
        <n v="184.59235294117647"/>
        <n v="135.5625806451613"/>
        <n v="127.56391304347825"/>
        <n v="181.99"/>
        <n v="159.09310344827585"/>
        <n v="163.43974358974359"/>
        <n v="110.45714285714287"/>
        <n v="183.83714285714285"/>
        <n v="152.66894736842104"/>
      </sharedItems>
    </cacheField>
    <cacheField name="Revenue" numFmtId="165">
      <sharedItems containsSemiMixedTypes="0" containsString="0" containsNumber="1">
        <n v="1385.03"/>
        <n v="5509.8"/>
        <n v="700.19"/>
        <n v="2728.06"/>
        <n v="2748.29"/>
        <n v="2935.19"/>
        <n v="5185.01"/>
        <n v="1433.6"/>
        <n v="6125.59"/>
        <n v="3099.87"/>
        <n v="3156.09"/>
        <n v="3110.42"/>
        <n v="3597.94"/>
        <n v="3539.26"/>
        <n v="2650.13"/>
        <n v="1464.02"/>
        <n v="8582.5"/>
        <n v="3334.5"/>
        <n v="2471.87"/>
        <n v="3238.22"/>
        <n v="4242.0"/>
        <n v="1205.0"/>
        <n v="518.23"/>
        <n v="4639.04"/>
        <n v="5031.51"/>
        <n v="965.62"/>
        <n v="1300.67"/>
        <n v="3145.28"/>
        <n v="2706.28"/>
        <n v="3322.89"/>
        <n v="4892.37"/>
        <n v="7583.58"/>
        <n v="1549.77"/>
        <n v="2330.67"/>
        <n v="991.28"/>
        <n v="6671.52"/>
        <n v="2372.53"/>
        <n v="6250.16"/>
        <n v="3049.55"/>
        <n v="2629.16"/>
        <n v="5521.37"/>
        <n v="5574.01"/>
        <n v="4737.61"/>
        <n v="1948.97"/>
        <n v="6977.24"/>
        <n v="4617.09"/>
        <n v="707.79"/>
        <n v="729.3"/>
        <n v="1798.5"/>
        <n v="1356.4"/>
        <n v="4435.91"/>
        <n v="1524.54"/>
        <n v="2223.33"/>
        <n v="4408.55"/>
        <n v="691.38"/>
        <n v="1914.41"/>
        <n v="5690.84"/>
        <n v="3222.16"/>
        <n v="381.08"/>
        <n v="4405.96"/>
        <n v="3695.72"/>
        <n v="2447.75"/>
        <n v="2046.78"/>
        <n v="3317.19"/>
        <n v="4026.34"/>
        <n v="1130.9"/>
        <n v="4866.69"/>
        <n v="6936.83"/>
        <n v="7401.49"/>
        <n v="1895.3"/>
        <n v="4954.84"/>
        <n v="1285.45"/>
        <n v="995.53"/>
        <n v="959.46"/>
        <n v="1031.1"/>
        <n v="6948.81"/>
        <n v="1067.91"/>
        <n v="2470.15"/>
        <n v="4071.62"/>
        <n v="1533.2"/>
        <n v="2202.06"/>
        <n v="4041.2"/>
        <n v="203.21"/>
        <n v="3809.9"/>
        <n v="1422.56"/>
        <n v="2675.11"/>
        <n v="999.26"/>
        <n v="5622.72"/>
        <n v="1342.52"/>
        <n v="1643.15"/>
        <n v="2628.49"/>
        <n v="4555.27"/>
        <n v="821.56"/>
        <n v="6488.34"/>
        <n v="723.42"/>
        <n v="4959.94"/>
        <n v="6520.93"/>
        <n v="5627.87"/>
        <n v="1322.5"/>
        <n v="1752.21"/>
        <n v="7093.93"/>
        <n v="2369.48"/>
        <n v="907.06"/>
        <n v="3289.77"/>
        <n v="6085.57"/>
        <n v="1309.91"/>
        <n v="3558.76"/>
        <n v="6199.46"/>
        <n v="726.81"/>
        <n v="3273.11"/>
        <n v="10002.84"/>
        <n v="4615.45"/>
        <n v="6023.74"/>
        <n v="3885.46"/>
        <n v="4501.82"/>
        <n v="3491.63"/>
        <n v="1207.33"/>
        <n v="2278.85"/>
        <n v="2020.36"/>
        <n v="3315.75"/>
        <n v="591.86"/>
        <n v="2690.14"/>
        <n v="3538.09"/>
        <n v="4637.49"/>
        <n v="7262.44"/>
        <n v="2748.82"/>
        <n v="2997.07"/>
        <n v="979.94"/>
        <n v="6809.07"/>
        <n v="5813.06"/>
        <n v="447.78"/>
        <n v="2358.84"/>
        <n v="1734.69"/>
        <n v="2127.81"/>
        <n v="920.65"/>
        <n v="4689.11"/>
        <n v="1955.08"/>
        <n v="5772.04"/>
        <n v="6657.83"/>
        <n v="1185.37"/>
        <n v="4606.56"/>
        <n v="2140.09"/>
        <n v="3310.87"/>
        <n v="2575.22"/>
        <n v="3591.49"/>
        <n v="6356.38"/>
        <n v="1717.45"/>
        <n v="8363.6"/>
        <n v="3833.31"/>
        <n v="3855.16"/>
        <n v="656.49"/>
        <n v="2701.33"/>
        <n v="4257.89"/>
        <n v="2500.41"/>
        <n v="3326.74"/>
        <n v="5079.13"/>
        <n v="3051.0"/>
        <n v="6960.52"/>
        <n v="6710.45"/>
        <n v="1125.69"/>
        <n v="4076.46"/>
        <n v="2768.36"/>
        <n v="1471.04"/>
        <n v="4818.87"/>
        <n v="3684.03"/>
        <n v="9144.05"/>
        <n v="6937.93"/>
        <n v="1199.54"/>
        <n v="879.21"/>
        <n v="2934.58"/>
        <n v="5617.45"/>
        <n v="6648.59"/>
        <n v="6036.64"/>
        <n v="3758.31"/>
        <n v="2208.52"/>
        <n v="1515.93"/>
        <n v="4257.68"/>
        <n v="2316.86"/>
        <n v="1495.48"/>
        <n v="1370.21"/>
        <n v="2474.45"/>
        <n v="8621.76"/>
        <n v="2525.96"/>
        <n v="2395.77"/>
        <n v="3389.34"/>
        <n v="4378.14"/>
        <n v="873.32"/>
        <n v="4366.19"/>
        <n v="3349.83"/>
        <n v="1851.96"/>
        <n v="2127.31"/>
        <n v="3038.34"/>
        <n v="9688.99"/>
        <n v="4371.24"/>
        <n v="2614.28"/>
        <n v="3653.84"/>
        <n v="6943.92"/>
        <n v="3868.57"/>
        <n v="2442.66"/>
        <n v="1378.2"/>
        <n v="2143.69"/>
        <n v="852.2"/>
        <n v="587.67"/>
        <n v="1539.88"/>
        <n v="3883.03"/>
        <n v="1511.64"/>
        <n v="1083.0"/>
        <n v="2750.71"/>
        <n v="2340.12"/>
        <n v="2801.92"/>
        <n v="2313.36"/>
        <n v="3066.39"/>
        <n v="2216.96"/>
        <n v="2212.21"/>
        <n v="5983.95"/>
        <n v="1929.6"/>
        <n v="2011.71"/>
        <n v="1930.2"/>
        <n v="7495.7"/>
        <n v="4350.25"/>
        <n v="1056.14"/>
        <n v="2404.8"/>
        <n v="3075.1"/>
        <n v="1203.64"/>
        <n v="1079.41"/>
        <n v="7977.88"/>
        <n v="3515.72"/>
        <n v="1507.63"/>
        <n v="3514.32"/>
        <n v="4938.21"/>
        <n v="726.04"/>
        <n v="631.17"/>
        <n v="702.92"/>
        <n v="3315.02"/>
        <n v="6119.54"/>
        <n v="2331.39"/>
        <n v="4509.85"/>
        <n v="3823.21"/>
        <n v="3081.31"/>
        <n v="673.29"/>
        <n v="2285.43"/>
        <n v="589.19"/>
        <n v="3039.56"/>
        <n v="3170.11"/>
        <n v="2740.94"/>
        <n v="1305.06"/>
        <n v="8349.53"/>
        <n v="6593.01"/>
        <n v="2154.7"/>
        <n v="394.3"/>
        <n v="2424.32"/>
        <n v="874.43"/>
        <n v="2940.74"/>
        <n v="2899.52"/>
        <n v="2362.21"/>
        <n v="5642.42"/>
        <n v="7308.97"/>
        <n v="1135.12"/>
        <n v="3347.45"/>
        <n v="1386.23"/>
        <n v="585.76"/>
        <n v="248.6"/>
        <n v="428.04"/>
        <n v="4218.69"/>
        <n v="5926.36"/>
        <n v="2064.03"/>
        <n v="4186.56"/>
        <n v="1508.9"/>
        <n v="6824.67"/>
        <n v="2633.32"/>
        <n v="633.34"/>
        <n v="1261.1"/>
        <n v="2011.06"/>
        <n v="5587.7"/>
        <n v="5135.32"/>
        <n v="6890.19"/>
        <n v="7355.25"/>
        <n v="2152.17"/>
        <n v="4208.72"/>
        <n v="962.55"/>
        <n v="5217.07"/>
        <n v="2455.36"/>
        <n v="4631.8"/>
        <n v="2516.8"/>
        <n v="496.9"/>
        <n v="6138.98"/>
        <n v="2351.37"/>
        <n v="4127.4"/>
        <n v="2480.57"/>
        <n v="1241.04"/>
        <n v="993.58"/>
        <n v="603.88"/>
        <n v="5151.62"/>
        <n v="3757.82"/>
        <n v="1607.19"/>
        <n v="3343.37"/>
        <n v="1501.92"/>
        <n v="3058.24"/>
        <n v="1437.68"/>
        <n v="2666.96"/>
        <n v="3081.25"/>
        <n v="4218.24"/>
        <n v="4193.71"/>
        <n v="3929.95"/>
        <n v="1440.84"/>
        <n v="4660.27"/>
        <n v="769.1"/>
        <n v="554.52"/>
        <n v="1628.49"/>
        <n v="11140.0"/>
        <n v="1638.39"/>
        <n v="9002.9"/>
        <n v="6527.15"/>
        <n v="1571.19"/>
        <n v="1321.69"/>
        <n v="2980.44"/>
        <n v="3427.5"/>
        <n v="2737.16"/>
        <n v="2186.65"/>
        <n v="1579.91"/>
        <n v="6865.8"/>
        <n v="3657.18"/>
        <n v="1628.73"/>
        <n v="5918.06"/>
        <n v="1199.46"/>
        <n v="4147.4"/>
        <n v="1730.74"/>
        <n v="1560.53"/>
        <n v="604.16"/>
        <n v="399.26"/>
        <n v="605.72"/>
        <n v="2597.96"/>
        <n v="1806.49"/>
        <n v="2939.64"/>
        <n v="5538.78"/>
        <n v="6672.67"/>
        <n v="2625.34"/>
        <n v="11381.39"/>
        <n v="2306.25"/>
        <n v="4456.33"/>
        <n v="4513.3"/>
        <n v="6472.86"/>
        <n v="4668.68"/>
        <n v="1512.65"/>
        <n v="1864.73"/>
        <n v="570.53"/>
        <n v="6037.11"/>
        <n v="2178.33"/>
        <n v="6134.31"/>
        <n v="10849.4"/>
        <n v="1679.71"/>
        <n v="5568.58"/>
        <n v="5171.08"/>
        <n v="5797.67"/>
        <n v="832.87"/>
        <n v="1810.3"/>
        <n v="3138.07"/>
        <n v="4202.44"/>
        <n v="2933.97"/>
        <n v="1455.92"/>
        <n v="4613.7"/>
        <n v="6374.15"/>
        <n v="1546.4"/>
        <n v="3860.58"/>
        <n v="5801.42"/>
      </sharedItems>
    </cacheField>
    <cacheField name="ROAS" numFmtId="4">
      <sharedItems containsSemiMixedTypes="0" containsString="0" containsNumber="1">
        <n v="2.1541464476794823"/>
        <n v="2.5103653146955103"/>
        <n v="2.2396762946614213"/>
        <n v="2.156006733421321"/>
        <n v="3.4410402163569893"/>
        <n v="1.4769960800495152"/>
        <n v="4.116851666587268"/>
        <n v="2.1716934543196036"/>
        <n v="2.612214176666752"/>
        <n v="1.3347528235511943"/>
        <n v="2.2267541538787174"/>
        <n v="1.4371947528682256"/>
        <n v="1.648419818020214"/>
        <n v="1.5065232474492294"/>
        <n v="1.0290528130593988"/>
        <n v="1.254505102784038"/>
        <n v="2.2068995664628406"/>
        <n v="1.7155072180435655"/>
        <n v="1.9360035714565433"/>
        <n v="2.5388843153396836"/>
        <n v="1.740871913358586"/>
        <n v="1.6915129565681237"/>
        <n v="3.2132316468253967"/>
        <n v="2.677903875682603"/>
        <n v="2.09845603323157"/>
        <n v="1.6349813748730104"/>
        <n v="1.7157424018573237"/>
        <n v="2.532798634262615"/>
        <n v="3.0699457767089413"/>
        <n v="1.4250016081651908"/>
        <n v="1.9648782486113956"/>
        <n v="2.5052708082126163"/>
        <n v="2.0431498180667615"/>
        <n v="3.1398375298064103"/>
        <n v="2.2018658374055975"/>
        <n v="1.8150585610708312"/>
        <n v="1.7002995642701528"/>
        <n v="1.7676291750332305"/>
        <n v="3.167507997839545"/>
        <n v="0.8713849172416993"/>
        <n v="4.4369379866764165"/>
        <n v="2.6762099097368925"/>
        <n v="2.689516380832354"/>
        <n v="2.548806005283394"/>
        <n v="2.8447180658050315"/>
        <n v="1.3520029282576866"/>
        <n v="2.018220701454234"/>
        <n v="2.055060865644725"/>
        <n v="1.287438437750544"/>
        <n v="1.145821014039771"/>
        <n v="2.0844853998477486"/>
        <n v="0.96432502182246"/>
        <n v="1.4184194912821297"/>
        <n v="2.928510219943005"/>
        <n v="1.101467284806194"/>
        <n v="1.8631727493917276"/>
        <n v="1.9273016679366692"/>
        <n v="1.434481039257063"/>
        <n v="1.3797747927151598"/>
        <n v="2.5781678808625177"/>
        <n v="1.7886814734508776"/>
        <n v="3.5286952008880306"/>
        <n v="2.509446685384304"/>
        <n v="1.4430156734629958"/>
        <n v="2.4793497336740664"/>
        <n v="1.8524463955183543"/>
        <n v="2.3126479057964815"/>
        <n v="2.4732876956537244"/>
        <n v="2.4811154726746736"/>
        <n v="1.9645911291242109"/>
        <n v="2.368243953732913"/>
        <n v="1.8486373768605737"/>
        <n v="0.8502190603889281"/>
        <n v="3.009315309098893"/>
        <n v="1.197992308496671"/>
        <n v="2.702008772339135"/>
        <n v="1.0256432419972916"/>
        <n v="2.94725099031165"/>
        <n v="2.5128493137158094"/>
        <n v="1.071216472084233"/>
        <n v="1.8285130657898014"/>
        <n v="1.903066606389391"/>
        <n v="1.014325646401118"/>
        <n v="1.130654906755618"/>
        <n v="2.322129903201058"/>
        <n v="1.9700055967950985"/>
        <n v="2.350038804355495"/>
        <n v="1.41100300885089"/>
        <n v="1.394492744590903"/>
        <n v="1.8013835292054028"/>
        <n v="1.5130351191264253"/>
        <n v="1.3780046586199597"/>
        <n v="1.6597507020343845"/>
        <n v="2.148350247504263"/>
        <n v="0.9480139957278957"/>
        <n v="1.76968801735457"/>
        <n v="1.782834192726418"/>
        <n v="1.4889805486178724"/>
        <n v="1.560011795930404"/>
        <n v="1.5503950733075553"/>
        <n v="2.7276792580516167"/>
        <n v="1.1564249354553753"/>
        <n v="1.2381719402659095"/>
        <n v="2.2830880056630094"/>
        <n v="1.5527304829725943"/>
        <n v="3.3098595108146354"/>
        <n v="1.9512136281642882"/>
        <n v="2.4023234816574375"/>
        <n v="0.9811944811944812"/>
        <n v="2.5850886545827905"/>
        <n v="2.921663239555099"/>
        <n v="1.2450029402402905"/>
        <n v="2.9204029787069"/>
        <n v="1.97565427855207"/>
        <n v="2.161250522091053"/>
        <n v="2.013279132791328"/>
        <n v="1.190872146929435"/>
        <n v="2.7395292363916135"/>
        <n v="1.8309981693280888"/>
        <n v="1.419772117101494"/>
        <n v="1.8120751944155287"/>
        <n v="1.5432901922988664"/>
        <n v="1.5980172082834623"/>
        <n v="2.2363683710522886"/>
        <n v="2.3755200837367525"/>
        <n v="2.843803020897993"/>
        <n v="0.8414221583363982"/>
        <n v="1.705400184472947"/>
        <n v="2.8401656781039617"/>
        <n v="1.5392310543875445"/>
        <n v="0.9694516010305484"/>
        <n v="1.8276938811879657"/>
        <n v="1.6241199161111528"/>
        <n v="0.7166177203594186"/>
        <n v="2.555373598312424"/>
        <n v="3.160011860717438"/>
        <n v="1.5044863409003462"/>
        <n v="2.332250452547194"/>
        <n v="2.759402017589668"/>
        <n v="1.194712652946038"/>
        <n v="2.8311126407394664"/>
        <n v="1.762275710438986"/>
        <n v="1.8596318784086632"/>
        <n v="1.75000509666678"/>
        <n v="1.057502502797244"/>
        <n v="1.6728944660401144"/>
        <n v="1.9107830266349213"/>
        <n v="2.328655752310948"/>
        <n v="3.025023674242424"/>
        <n v="1.8591179803727724"/>
        <n v="1.6286437272073235"/>
        <n v="2.0757267229654444"/>
        <n v="1.2943764002760274"/>
        <n v="2.466544346127667"/>
        <n v="1.6142014246064862"/>
        <n v="2.3434963757249703"/>
        <n v="1.1833883460877592"/>
        <n v="3.3430447290943235"/>
        <n v="2.5115651503469545"/>
        <n v="1.2646212955265466"/>
        <n v="1.6531796595872383"/>
        <n v="1.914005406638689"/>
        <n v="3.372475297462115"/>
        <n v="2.019796128794293"/>
        <n v="2.5494840866153177"/>
        <n v="3.4893762354323914"/>
        <n v="1.3521304357146895"/>
        <n v="1.8400110442999142"/>
        <n v="1.2985702891915045"/>
        <n v="2.0803329009024334"/>
        <n v="2.5110186310971248"/>
        <n v="1.889829424488856"/>
        <n v="1.5071178553060602"/>
        <n v="2.009705467145791"/>
        <n v="1.4417338512256423"/>
        <n v="2.335505638750231"/>
        <n v="1.963086768685998"/>
        <n v="1.7780830538522345"/>
        <n v="1.721079040648161"/>
        <n v="2.823545169798879"/>
        <n v="1.4123331221497348"/>
        <n v="2.5023465593953804"/>
        <n v="3.4896662245800174"/>
        <n v="1.0282804264597318"/>
        <n v="2.598609205008089"/>
        <n v="1.255783936346583"/>
        <n v="1.1069536339899104"/>
        <n v="2.588184733575582"/>
        <n v="1.2517067046308026"/>
        <n v="1.2287746490087317"/>
        <n v="1.1835616285927293"/>
        <n v="2.142542839009943"/>
        <n v="2.8718925343758985"/>
        <n v="2.5306339842415753"/>
        <n v="2.1654117900421608"/>
        <n v="1.66758249281183"/>
        <n v="2.004578482287971"/>
        <n v="2.1643681569215447"/>
        <n v="0.8232260934624795"/>
        <n v="2.6600015440438507"/>
        <n v="1.5953754214141656"/>
        <n v="2.567640855679422"/>
        <n v="0.8685120595885552"/>
        <n v="2.2534939194825343"/>
        <n v="1.8949096960262348"/>
        <n v="3.053633113144658"/>
        <n v="2.206286796911606"/>
        <n v="1.0022736630387654"/>
        <n v="1.1660604127841503"/>
        <n v="2.188709312044494"/>
        <n v="2.4610998223347553"/>
        <n v="1.9190364733271583"/>
        <n v="1.9898039778846843"/>
        <n v="2.3524638975733216"/>
        <n v="1.9353884069783236"/>
        <n v="1.571898725927857"/>
        <n v="1.4880062132475314"/>
        <n v="2.7232325512493123"/>
        <n v="1.991842049319728"/>
        <n v="2.238312563672474"/>
        <n v="2.2925177451214487"/>
        <n v="1.065650411007467"/>
        <n v="1.5822566619843683"/>
        <n v="2.2412900582835227"/>
        <n v="1.0147692018426249"/>
        <n v="3.0806550641587536"/>
        <n v="1.0000028443756737"/>
        <n v="1.803644063741207"/>
        <n v="1.5829557227151931"/>
        <n v="2.3210564164751335"/>
        <n v="1.7750287264992788"/>
        <n v="1.340120599600832"/>
        <n v="3.193058962478423"/>
        <n v="1.397928632273191"/>
        <n v="2.3264939913396216"/>
        <n v="2.549416061586913"/>
        <n v="1.624626701681959"/>
        <n v="1.7272784772954195"/>
        <n v="1.2341085954365405"/>
        <n v="1.00877994696073"/>
        <n v="2.502880234799369"/>
        <n v="1.017915759648941"/>
        <n v="2.143463605207114"/>
        <n v="1.3083894985781561"/>
        <n v="1.9152144444289168"/>
        <n v="1.91985524515645"/>
        <n v="2.790758226515367"/>
        <n v="2.180725760838287"/>
        <n v="1.367091338222978"/>
        <n v="0.9736283273248062"/>
        <n v="2.2026457333914813"/>
        <n v="2.007553320935785"/>
        <n v="1.3539692625026474"/>
        <n v="2.6688020617607804"/>
        <n v="2.15021982723309"/>
        <n v="3.4138139664331266"/>
        <n v="3.6008325943442707"/>
        <n v="1.2242318352908186"/>
        <n v="1.3615988806046038"/>
        <n v="1.3697789547534116"/>
        <n v="1.9789857765465049"/>
        <n v="0.931784107946027"/>
        <n v="1.4670459608595814"/>
        <n v="2.2601537596099757"/>
        <n v="1.8705586399977274"/>
        <n v="1.9270009616192552"/>
        <n v="2.142153225847716"/>
        <n v="0.9447571581524359"/>
        <n v="2.8540535793444355"/>
        <n v="3.043667213758987"/>
        <n v="2.3491839762611275"/>
        <n v="1.193387209720461"/>
        <n v="1.2540047764246653"/>
        <n v="2.1820219541625825"/>
        <n v="1.4975707911696947"/>
        <n v="3.6676673959214954"/>
        <n v="3.1687546851170527"/>
        <n v="1.8050120352586954"/>
        <n v="1.7131599299873816"/>
        <n v="2.098201634877384"/>
        <n v="1.480649921952604"/>
        <n v="1.6765858654831"/>
        <n v="2.6147089373616943"/>
        <n v="1.7482876950221595"/>
        <n v="1.7597478485674822"/>
        <n v="2.266393472883671"/>
        <n v="1.76000748502994"/>
        <n v="2.31720188636874"/>
        <n v="2.6162762490375795"/>
        <n v="0.9487348062074765"/>
        <n v="2.2468002351770613"/>
        <n v="1.7651632515857472"/>
        <n v="2.540547204797412"/>
        <n v="1.3115979714282722"/>
        <n v="1.281405472636816"/>
        <n v="3.8456061651713824"/>
        <n v="2.4393302041545533"/>
        <n v="1.7026450725710816"/>
        <n v="3.085547495385672"/>
        <n v="2.917260993218114"/>
        <n v="2.61966502295528"/>
        <n v="1.3600030951367663"/>
        <n v="2.7974478360638244"/>
        <n v="2.1206863988344167"/>
        <n v="1.9802638812534359"/>
        <n v="2.05091339573734"/>
        <n v="2.074891412847007"/>
        <n v="1.2157860118395087"/>
        <n v="2.3574654738122125"/>
        <n v="4.103463264058229"/>
        <n v="1.3630078865927924"/>
        <n v="3.6045338436776824"/>
        <n v="2.6608737836372454"/>
        <n v="2.929958041958042"/>
        <n v="3.157103955665966"/>
        <n v="2.1431529899042197"/>
        <n v="1.2671729196551367"/>
        <n v="1.332904802949068"/>
        <n v="1.6354532059864029"/>
        <n v="2.1777443899211555"/>
        <n v="2.709129076044067"/>
        <n v="2.304606465435755"/>
        <n v="1.2921608606313517"/>
        <n v="3.253182787660239"/>
        <n v="2.840908552615997"/>
        <n v="1.1840039282186554"/>
        <n v="1.527464962756381"/>
        <n v="1.3060795768400262"/>
        <n v="1.6002542776924298"/>
        <n v="1.2709215342989018"/>
        <n v="1.6210458705775304"/>
        <n v="0.7433680987739102"/>
        <n v="1.6009730850696138"/>
        <n v="1.8247866165926936"/>
        <n v="1.8848106607137995"/>
        <n v="2.450484759456482"/>
        <n v="2.1262634443436568"/>
        <n v="2.433023078830581"/>
        <n v="1.9480601755260292"/>
        <n v="1.6597503109939142"/>
        <n v="1.9944144199878924"/>
        <n v="1.9501500379614118"/>
        <n v="1.7233324720386847"/>
        <n v="0.9702133937104338"/>
        <n v="1.2565312021994164"/>
        <n v="0.9703056174424735"/>
        <n v="1.8332437529037722"/>
        <n v="1.6300228976788038"/>
        <n v="1.243903477643719"/>
        <n v="3.4880034978411762"/>
        <n v="1.6490055172684612"/>
        <n v="2.046542225750376"/>
        <n v="1.3279234536261173"/>
        <n v="1.6274800974634793"/>
        <n v="2.18245899061894"/>
        <n v="1.3785514662767764"/>
        <n v="2.7405288805826773"/>
        <n v="1.855726006588418"/>
        <n v="2.042471875696146"/>
        <n v="2.093403117271525"/>
        <n v="1.8333359824522364"/>
        <n v="1.6367686520215183"/>
        <n v="1.3288077336197637"/>
        <n v="2.2049999143263483"/>
        <n v="2.39190414935022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s" cacheId="0" dataCaption="" compact="0" compactData="0">
  <location ref="A1:F14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mpre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CTR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Click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t="default"/>
      </items>
    </pivotField>
    <pivotField name="CP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CPM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Spen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Conversion rat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Conver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Avg. conversion val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ROA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"/>
  </rowFields>
  <colFields>
    <field x="-2"/>
  </colFields>
  <dataFields>
    <dataField name="SUM of Spend" fld="7" baseField="0"/>
    <dataField name="SUM of Revenue" fld="11" baseField="0"/>
    <dataField name="SUM of Clicks" fld="4" baseField="0"/>
    <dataField name="SUM of Impressions" fld="2" baseField="0"/>
    <dataField name="SUM of Conversions" fld="9" baseField="0"/>
  </dataFields>
</pivotTableDefinition>
</file>

<file path=xl/pivotTables/pivotTable2.xml><?xml version="1.0" encoding="utf-8"?>
<pivotTableDefinition xmlns="http://schemas.openxmlformats.org/spreadsheetml/2006/main" name="Pivot Tables 2" cacheId="1" dataCaption="" compact="0" compactData="0">
  <location ref="A17:D30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CTR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t="default"/>
      </items>
    </pivotField>
    <pivotField name="CP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CPM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Spen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Conversion rat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Conver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Avg. conversion val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ROA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</pivotFields>
  <rowFields>
    <field x="1"/>
  </rowFields>
  <colFields>
    <field x="-2"/>
  </colFields>
  <dataFields>
    <dataField name="SUM of Spend" fld="7" baseField="0"/>
    <dataField name="SUM of Conversions" fld="9" baseField="0"/>
    <dataField name="SUM of Revenue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44927.0</v>
      </c>
      <c r="B2" s="3">
        <v>26268.0</v>
      </c>
      <c r="C2" s="3">
        <v>522.0</v>
      </c>
      <c r="D2" s="4">
        <v>642.96</v>
      </c>
      <c r="E2" s="3">
        <v>9.0</v>
      </c>
      <c r="F2" s="4">
        <v>1385.03</v>
      </c>
    </row>
    <row r="3">
      <c r="A3" s="2">
        <v>44928.0</v>
      </c>
      <c r="B3" s="3">
        <v>92883.0</v>
      </c>
      <c r="C3" s="5">
        <v>1579.0</v>
      </c>
      <c r="D3" s="4">
        <v>2194.82</v>
      </c>
      <c r="E3" s="3">
        <v>37.0</v>
      </c>
      <c r="F3" s="4">
        <v>5509.8</v>
      </c>
    </row>
    <row r="4">
      <c r="A4" s="2">
        <v>44929.0</v>
      </c>
      <c r="B4" s="3">
        <v>14955.0</v>
      </c>
      <c r="C4" s="3">
        <v>276.0</v>
      </c>
      <c r="D4" s="4">
        <v>312.63</v>
      </c>
      <c r="E4" s="3">
        <v>6.0</v>
      </c>
      <c r="F4" s="4">
        <v>700.19</v>
      </c>
    </row>
    <row r="5">
      <c r="A5" s="2">
        <v>44930.0</v>
      </c>
      <c r="B5" s="3">
        <v>41109.0</v>
      </c>
      <c r="C5" s="3">
        <v>702.0</v>
      </c>
      <c r="D5" s="4">
        <v>1265.33</v>
      </c>
      <c r="E5" s="3">
        <v>13.0</v>
      </c>
      <c r="F5" s="4">
        <v>2728.06</v>
      </c>
    </row>
    <row r="6">
      <c r="A6" s="2">
        <v>44931.0</v>
      </c>
      <c r="B6" s="3">
        <v>37989.0</v>
      </c>
      <c r="C6" s="3">
        <v>554.0</v>
      </c>
      <c r="D6" s="4">
        <v>798.68</v>
      </c>
      <c r="E6" s="3">
        <v>13.0</v>
      </c>
      <c r="F6" s="4">
        <v>2748.29</v>
      </c>
    </row>
    <row r="7">
      <c r="A7" s="2">
        <v>44932.0</v>
      </c>
      <c r="B7" s="3">
        <v>61008.0</v>
      </c>
      <c r="C7" s="5">
        <v>1085.0</v>
      </c>
      <c r="D7" s="4">
        <v>1987.27</v>
      </c>
      <c r="E7" s="3">
        <v>16.0</v>
      </c>
      <c r="F7" s="4">
        <v>2935.19</v>
      </c>
    </row>
    <row r="8">
      <c r="A8" s="2">
        <v>44933.0</v>
      </c>
      <c r="B8" s="3">
        <v>45181.0</v>
      </c>
      <c r="C8" s="5">
        <v>1246.0</v>
      </c>
      <c r="D8" s="4">
        <v>1259.46</v>
      </c>
      <c r="E8" s="3">
        <v>26.0</v>
      </c>
      <c r="F8" s="4">
        <v>5185.01</v>
      </c>
    </row>
    <row r="9">
      <c r="A9" s="2">
        <v>44934.0</v>
      </c>
      <c r="B9" s="3">
        <v>39529.0</v>
      </c>
      <c r="C9" s="3">
        <v>395.0</v>
      </c>
      <c r="D9" s="4">
        <v>660.13</v>
      </c>
      <c r="E9" s="3">
        <v>9.0</v>
      </c>
      <c r="F9" s="4">
        <v>1433.6</v>
      </c>
    </row>
    <row r="10">
      <c r="A10" s="2">
        <v>44935.0</v>
      </c>
      <c r="B10" s="3">
        <v>84110.0</v>
      </c>
      <c r="C10" s="5">
        <v>1724.0</v>
      </c>
      <c r="D10" s="4">
        <v>2344.98</v>
      </c>
      <c r="E10" s="3">
        <v>32.0</v>
      </c>
      <c r="F10" s="4">
        <v>6125.59</v>
      </c>
    </row>
    <row r="11">
      <c r="A11" s="2">
        <v>44936.0</v>
      </c>
      <c r="B11" s="3">
        <v>70925.0</v>
      </c>
      <c r="C11" s="5">
        <v>1312.0</v>
      </c>
      <c r="D11" s="4">
        <v>2322.43</v>
      </c>
      <c r="E11" s="3">
        <v>16.0</v>
      </c>
      <c r="F11" s="4">
        <v>3099.87</v>
      </c>
    </row>
    <row r="12">
      <c r="A12" s="2">
        <v>44937.0</v>
      </c>
      <c r="B12" s="3">
        <v>78307.0</v>
      </c>
      <c r="C12" s="3">
        <v>783.0</v>
      </c>
      <c r="D12" s="4">
        <v>1417.35</v>
      </c>
      <c r="E12" s="3">
        <v>17.0</v>
      </c>
      <c r="F12" s="4">
        <v>3156.09</v>
      </c>
    </row>
    <row r="13">
      <c r="A13" s="2">
        <v>44938.0</v>
      </c>
      <c r="B13" s="3">
        <v>70313.0</v>
      </c>
      <c r="C13" s="5">
        <v>1265.0</v>
      </c>
      <c r="D13" s="4">
        <v>2164.23</v>
      </c>
      <c r="E13" s="3">
        <v>16.0</v>
      </c>
      <c r="F13" s="4">
        <v>3110.42</v>
      </c>
    </row>
    <row r="14">
      <c r="A14" s="2">
        <v>44939.0</v>
      </c>
      <c r="B14" s="3">
        <v>93757.0</v>
      </c>
      <c r="C14" s="5">
        <v>1818.0</v>
      </c>
      <c r="D14" s="4">
        <v>2182.66</v>
      </c>
      <c r="E14" s="3">
        <v>27.0</v>
      </c>
      <c r="F14" s="4">
        <v>3597.94</v>
      </c>
    </row>
    <row r="15">
      <c r="A15" s="2">
        <v>44940.0</v>
      </c>
      <c r="B15" s="3">
        <v>69770.0</v>
      </c>
      <c r="C15" s="5">
        <v>1276.0</v>
      </c>
      <c r="D15" s="4">
        <v>2349.29</v>
      </c>
      <c r="E15" s="3">
        <v>26.0</v>
      </c>
      <c r="F15" s="4">
        <v>3539.26</v>
      </c>
    </row>
    <row r="16">
      <c r="A16" s="2">
        <v>44941.0</v>
      </c>
      <c r="B16" s="3">
        <v>69622.0</v>
      </c>
      <c r="C16" s="5">
        <v>1879.0</v>
      </c>
      <c r="D16" s="4">
        <v>2575.31</v>
      </c>
      <c r="E16" s="3">
        <v>25.0</v>
      </c>
      <c r="F16" s="4">
        <v>2650.13</v>
      </c>
    </row>
    <row r="17">
      <c r="A17" s="2">
        <v>44942.0</v>
      </c>
      <c r="B17" s="3">
        <v>20474.0</v>
      </c>
      <c r="C17" s="3">
        <v>583.0</v>
      </c>
      <c r="D17" s="4">
        <v>1167.01</v>
      </c>
      <c r="E17" s="3">
        <v>11.0</v>
      </c>
      <c r="F17" s="4">
        <v>1464.02</v>
      </c>
    </row>
    <row r="18">
      <c r="A18" s="2">
        <v>44943.0</v>
      </c>
      <c r="B18" s="3">
        <v>99778.0</v>
      </c>
      <c r="C18" s="5">
        <v>2235.0</v>
      </c>
      <c r="D18" s="4">
        <v>3888.94</v>
      </c>
      <c r="E18" s="3">
        <v>53.0</v>
      </c>
      <c r="F18" s="4">
        <v>8582.5</v>
      </c>
    </row>
    <row r="19">
      <c r="A19" s="2">
        <v>44944.0</v>
      </c>
      <c r="B19" s="3">
        <v>61824.0</v>
      </c>
      <c r="C19" s="5">
        <v>1619.0</v>
      </c>
      <c r="D19" s="4">
        <v>1943.74</v>
      </c>
      <c r="E19" s="3">
        <v>22.0</v>
      </c>
      <c r="F19" s="4">
        <v>3334.5</v>
      </c>
    </row>
    <row r="20">
      <c r="A20" s="2">
        <v>44945.0</v>
      </c>
      <c r="B20" s="3">
        <v>66138.0</v>
      </c>
      <c r="C20" s="3">
        <v>773.0</v>
      </c>
      <c r="D20" s="4">
        <v>1276.79</v>
      </c>
      <c r="E20" s="3">
        <v>18.0</v>
      </c>
      <c r="F20" s="4">
        <v>2471.87</v>
      </c>
    </row>
    <row r="21">
      <c r="A21" s="2">
        <v>44946.0</v>
      </c>
      <c r="B21" s="3">
        <v>72950.0</v>
      </c>
      <c r="C21" s="5">
        <v>1028.0</v>
      </c>
      <c r="D21" s="4">
        <v>1275.45</v>
      </c>
      <c r="E21" s="3">
        <v>16.0</v>
      </c>
      <c r="F21" s="4">
        <v>3238.22</v>
      </c>
    </row>
    <row r="22">
      <c r="A22" s="2">
        <v>44947.0</v>
      </c>
      <c r="B22" s="3">
        <v>69746.0</v>
      </c>
      <c r="C22" s="5">
        <v>1513.0</v>
      </c>
      <c r="D22" s="4">
        <v>2436.71</v>
      </c>
      <c r="E22" s="3">
        <v>27.0</v>
      </c>
      <c r="F22" s="4">
        <v>4242.0</v>
      </c>
    </row>
    <row r="23">
      <c r="A23" s="2">
        <v>44948.0</v>
      </c>
      <c r="B23" s="3">
        <v>41036.0</v>
      </c>
      <c r="C23" s="3">
        <v>508.0</v>
      </c>
      <c r="D23" s="4">
        <v>712.38</v>
      </c>
      <c r="E23" s="3">
        <v>10.0</v>
      </c>
      <c r="F23" s="4">
        <v>1205.0</v>
      </c>
    </row>
    <row r="24">
      <c r="A24" s="2">
        <v>44949.0</v>
      </c>
      <c r="B24" s="3">
        <v>12284.0</v>
      </c>
      <c r="C24" s="3">
        <v>159.0</v>
      </c>
      <c r="D24" s="4">
        <v>161.28</v>
      </c>
      <c r="E24" s="3">
        <v>3.0</v>
      </c>
      <c r="F24" s="4">
        <v>518.23</v>
      </c>
    </row>
    <row r="25">
      <c r="A25" s="2">
        <v>44950.0</v>
      </c>
      <c r="B25" s="3">
        <v>67438.0</v>
      </c>
      <c r="C25" s="5">
        <v>1139.0</v>
      </c>
      <c r="D25" s="4">
        <v>1732.34</v>
      </c>
      <c r="E25" s="3">
        <v>24.0</v>
      </c>
      <c r="F25" s="4">
        <v>4639.04</v>
      </c>
    </row>
    <row r="26">
      <c r="A26" s="2">
        <v>44951.0</v>
      </c>
      <c r="B26" s="3">
        <v>47354.0</v>
      </c>
      <c r="C26" s="5">
        <v>1235.0</v>
      </c>
      <c r="D26" s="4">
        <v>2397.72</v>
      </c>
      <c r="E26" s="3">
        <v>28.0</v>
      </c>
      <c r="F26" s="4">
        <v>5031.51</v>
      </c>
    </row>
    <row r="27">
      <c r="A27" s="2">
        <v>44952.0</v>
      </c>
      <c r="B27" s="3">
        <v>28310.0</v>
      </c>
      <c r="C27" s="3">
        <v>322.0</v>
      </c>
      <c r="D27" s="4">
        <v>590.6</v>
      </c>
      <c r="E27" s="3">
        <v>6.0</v>
      </c>
      <c r="F27" s="4">
        <v>965.62</v>
      </c>
    </row>
    <row r="28">
      <c r="A28" s="2">
        <v>44953.0</v>
      </c>
      <c r="B28" s="3">
        <v>25310.0</v>
      </c>
      <c r="C28" s="3">
        <v>394.0</v>
      </c>
      <c r="D28" s="4">
        <v>758.08</v>
      </c>
      <c r="E28" s="3">
        <v>7.0</v>
      </c>
      <c r="F28" s="4">
        <v>1300.67</v>
      </c>
    </row>
    <row r="29">
      <c r="A29" s="2">
        <v>44954.0</v>
      </c>
      <c r="B29" s="3">
        <v>73481.0</v>
      </c>
      <c r="C29" s="3">
        <v>734.0</v>
      </c>
      <c r="D29" s="4">
        <v>1241.82</v>
      </c>
      <c r="E29" s="3">
        <v>18.0</v>
      </c>
      <c r="F29" s="4">
        <v>3145.28</v>
      </c>
    </row>
    <row r="30">
      <c r="A30" s="2">
        <v>44955.0</v>
      </c>
      <c r="B30" s="3">
        <v>27514.0</v>
      </c>
      <c r="C30" s="3">
        <v>734.0</v>
      </c>
      <c r="D30" s="4">
        <v>881.54</v>
      </c>
      <c r="E30" s="3">
        <v>13.0</v>
      </c>
      <c r="F30" s="4">
        <v>2706.28</v>
      </c>
    </row>
    <row r="31">
      <c r="A31" s="2">
        <v>44956.0</v>
      </c>
      <c r="B31" s="3">
        <v>51191.0</v>
      </c>
      <c r="C31" s="5">
        <v>1494.0</v>
      </c>
      <c r="D31" s="4">
        <v>2331.85</v>
      </c>
      <c r="E31" s="3">
        <v>25.0</v>
      </c>
      <c r="F31" s="4">
        <v>3322.89</v>
      </c>
    </row>
    <row r="32">
      <c r="A32" s="2">
        <v>44957.0</v>
      </c>
      <c r="B32" s="3">
        <v>79805.0</v>
      </c>
      <c r="C32" s="5">
        <v>1596.0</v>
      </c>
      <c r="D32" s="4">
        <v>2489.91</v>
      </c>
      <c r="E32" s="3">
        <v>30.0</v>
      </c>
      <c r="F32" s="4">
        <v>4892.37</v>
      </c>
    </row>
    <row r="33">
      <c r="A33" s="2">
        <v>44958.0</v>
      </c>
      <c r="B33" s="3">
        <v>98345.0</v>
      </c>
      <c r="C33" s="5">
        <v>2655.0</v>
      </c>
      <c r="D33" s="4">
        <v>3027.05</v>
      </c>
      <c r="E33" s="3">
        <v>55.0</v>
      </c>
      <c r="F33" s="4">
        <v>7583.58</v>
      </c>
    </row>
    <row r="34">
      <c r="A34" s="2">
        <v>44959.0</v>
      </c>
      <c r="B34" s="3">
        <v>32308.0</v>
      </c>
      <c r="C34" s="3">
        <v>416.0</v>
      </c>
      <c r="D34" s="4">
        <v>758.52</v>
      </c>
      <c r="E34" s="3">
        <v>8.0</v>
      </c>
      <c r="F34" s="4">
        <v>1549.77</v>
      </c>
    </row>
    <row r="35">
      <c r="A35" s="2">
        <v>44960.0</v>
      </c>
      <c r="B35" s="3">
        <v>25676.0</v>
      </c>
      <c r="C35" s="3">
        <v>629.0</v>
      </c>
      <c r="D35" s="4">
        <v>742.29</v>
      </c>
      <c r="E35" s="3">
        <v>15.0</v>
      </c>
      <c r="F35" s="4">
        <v>2330.67</v>
      </c>
    </row>
    <row r="36">
      <c r="A36" s="2">
        <v>44961.0</v>
      </c>
      <c r="B36" s="3">
        <v>14162.0</v>
      </c>
      <c r="C36" s="3">
        <v>409.0</v>
      </c>
      <c r="D36" s="4">
        <v>450.2</v>
      </c>
      <c r="E36" s="3">
        <v>7.0</v>
      </c>
      <c r="F36" s="4">
        <v>991.28</v>
      </c>
    </row>
    <row r="37">
      <c r="A37" s="2">
        <v>44962.0</v>
      </c>
      <c r="B37" s="3">
        <v>75090.0</v>
      </c>
      <c r="C37" s="5">
        <v>2064.0</v>
      </c>
      <c r="D37" s="4">
        <v>3675.65</v>
      </c>
      <c r="E37" s="3">
        <v>33.0</v>
      </c>
      <c r="F37" s="4">
        <v>6671.52</v>
      </c>
    </row>
    <row r="38">
      <c r="A38" s="2">
        <v>44963.0</v>
      </c>
      <c r="B38" s="3">
        <v>90438.0</v>
      </c>
      <c r="C38" s="5">
        <v>1003.0</v>
      </c>
      <c r="D38" s="4">
        <v>1395.36</v>
      </c>
      <c r="E38" s="3">
        <v>20.0</v>
      </c>
      <c r="F38" s="4">
        <v>2372.53</v>
      </c>
    </row>
    <row r="39">
      <c r="A39" s="2">
        <v>44964.0</v>
      </c>
      <c r="B39" s="3">
        <v>85990.0</v>
      </c>
      <c r="C39" s="5">
        <v>2209.0</v>
      </c>
      <c r="D39" s="4">
        <v>3535.9</v>
      </c>
      <c r="E39" s="3">
        <v>39.0</v>
      </c>
      <c r="F39" s="4">
        <v>6250.16</v>
      </c>
    </row>
    <row r="40">
      <c r="A40" s="2">
        <v>44965.0</v>
      </c>
      <c r="B40" s="3">
        <v>81784.0</v>
      </c>
      <c r="C40" s="3">
        <v>891.0</v>
      </c>
      <c r="D40" s="4">
        <v>962.76</v>
      </c>
      <c r="E40" s="3">
        <v>16.0</v>
      </c>
      <c r="F40" s="4">
        <v>3049.55</v>
      </c>
    </row>
    <row r="41">
      <c r="A41" s="2">
        <v>44966.0</v>
      </c>
      <c r="B41" s="3">
        <v>58169.0</v>
      </c>
      <c r="C41" s="5">
        <v>1547.0</v>
      </c>
      <c r="D41" s="4">
        <v>3017.22</v>
      </c>
      <c r="E41" s="3">
        <v>22.0</v>
      </c>
      <c r="F41" s="4">
        <v>2629.16</v>
      </c>
    </row>
    <row r="42">
      <c r="A42" s="2">
        <v>44967.0</v>
      </c>
      <c r="B42" s="3">
        <v>39755.0</v>
      </c>
      <c r="C42" s="5">
        <v>1121.0</v>
      </c>
      <c r="D42" s="4">
        <v>1244.41</v>
      </c>
      <c r="E42" s="3">
        <v>28.0</v>
      </c>
      <c r="F42" s="4">
        <v>5521.37</v>
      </c>
    </row>
    <row r="43">
      <c r="A43" s="2">
        <v>44968.0</v>
      </c>
      <c r="B43" s="3">
        <v>78407.0</v>
      </c>
      <c r="C43" s="5">
        <v>1795.0</v>
      </c>
      <c r="D43" s="4">
        <v>2082.8</v>
      </c>
      <c r="E43" s="3">
        <v>28.0</v>
      </c>
      <c r="F43" s="4">
        <v>5574.01</v>
      </c>
    </row>
    <row r="44">
      <c r="A44" s="2">
        <v>44969.0</v>
      </c>
      <c r="B44" s="3">
        <v>86349.0</v>
      </c>
      <c r="C44" s="5">
        <v>1761.0</v>
      </c>
      <c r="D44" s="4">
        <v>1761.51</v>
      </c>
      <c r="E44" s="3">
        <v>28.0</v>
      </c>
      <c r="F44" s="4">
        <v>4737.61</v>
      </c>
    </row>
    <row r="45">
      <c r="A45" s="2">
        <v>44970.0</v>
      </c>
      <c r="B45" s="3">
        <v>24867.0</v>
      </c>
      <c r="C45" s="3">
        <v>509.0</v>
      </c>
      <c r="D45" s="4">
        <v>764.66</v>
      </c>
      <c r="E45" s="3">
        <v>12.0</v>
      </c>
      <c r="F45" s="4">
        <v>1948.97</v>
      </c>
    </row>
    <row r="46">
      <c r="A46" s="2">
        <v>44971.0</v>
      </c>
      <c r="B46" s="3">
        <v>91084.0</v>
      </c>
      <c r="C46" s="5">
        <v>1803.0</v>
      </c>
      <c r="D46" s="4">
        <v>2452.7</v>
      </c>
      <c r="E46" s="3">
        <v>37.0</v>
      </c>
      <c r="F46" s="4">
        <v>6977.24</v>
      </c>
    </row>
    <row r="47">
      <c r="A47" s="2">
        <v>44972.0</v>
      </c>
      <c r="B47" s="3">
        <v>69446.0</v>
      </c>
      <c r="C47" s="5">
        <v>1951.0</v>
      </c>
      <c r="D47" s="4">
        <v>3415.0</v>
      </c>
      <c r="E47" s="3">
        <v>25.0</v>
      </c>
      <c r="F47" s="4">
        <v>4617.09</v>
      </c>
    </row>
    <row r="48">
      <c r="A48" s="2">
        <v>44973.0</v>
      </c>
      <c r="B48" s="3">
        <v>13572.0</v>
      </c>
      <c r="C48" s="3">
        <v>184.0</v>
      </c>
      <c r="D48" s="4">
        <v>350.7</v>
      </c>
      <c r="E48" s="3">
        <v>4.0</v>
      </c>
      <c r="F48" s="4">
        <v>707.79</v>
      </c>
    </row>
    <row r="49">
      <c r="A49" s="2">
        <v>44974.0</v>
      </c>
      <c r="B49" s="3">
        <v>10937.0</v>
      </c>
      <c r="C49" s="3">
        <v>184.0</v>
      </c>
      <c r="D49" s="4">
        <v>354.88</v>
      </c>
      <c r="E49" s="3">
        <v>3.0</v>
      </c>
      <c r="F49" s="4">
        <v>729.3</v>
      </c>
    </row>
    <row r="50">
      <c r="A50" s="2">
        <v>44975.0</v>
      </c>
      <c r="B50" s="3">
        <v>51617.0</v>
      </c>
      <c r="C50" s="3">
        <v>701.0</v>
      </c>
      <c r="D50" s="4">
        <v>1396.96</v>
      </c>
      <c r="E50" s="3">
        <v>9.0</v>
      </c>
      <c r="F50" s="4">
        <v>1798.5</v>
      </c>
    </row>
    <row r="51">
      <c r="A51" s="2">
        <v>44976.0</v>
      </c>
      <c r="B51" s="3">
        <v>27084.0</v>
      </c>
      <c r="C51" s="3">
        <v>603.0</v>
      </c>
      <c r="D51" s="4">
        <v>1183.78</v>
      </c>
      <c r="E51" s="3">
        <v>11.0</v>
      </c>
      <c r="F51" s="4">
        <v>1356.4</v>
      </c>
    </row>
    <row r="52">
      <c r="A52" s="2">
        <v>44977.0</v>
      </c>
      <c r="B52" s="3">
        <v>81535.0</v>
      </c>
      <c r="C52" s="5">
        <v>1223.0</v>
      </c>
      <c r="D52" s="4">
        <v>2128.06</v>
      </c>
      <c r="E52" s="3">
        <v>28.0</v>
      </c>
      <c r="F52" s="4">
        <v>4435.91</v>
      </c>
    </row>
    <row r="53">
      <c r="A53" s="2">
        <v>44978.0</v>
      </c>
      <c r="B53" s="3">
        <v>87918.0</v>
      </c>
      <c r="C53" s="3">
        <v>975.0</v>
      </c>
      <c r="D53" s="4">
        <v>1580.94</v>
      </c>
      <c r="E53" s="3">
        <v>14.0</v>
      </c>
      <c r="F53" s="4">
        <v>1524.54</v>
      </c>
    </row>
    <row r="54">
      <c r="A54" s="2">
        <v>44979.0</v>
      </c>
      <c r="B54" s="3">
        <v>67900.0</v>
      </c>
      <c r="C54" s="3">
        <v>916.0</v>
      </c>
      <c r="D54" s="4">
        <v>1567.47</v>
      </c>
      <c r="E54" s="3">
        <v>15.0</v>
      </c>
      <c r="F54" s="4">
        <v>2223.33</v>
      </c>
    </row>
    <row r="55">
      <c r="A55" s="2">
        <v>44980.0</v>
      </c>
      <c r="B55" s="3">
        <v>86072.0</v>
      </c>
      <c r="C55" s="3">
        <v>946.0</v>
      </c>
      <c r="D55" s="4">
        <v>1505.39</v>
      </c>
      <c r="E55" s="3">
        <v>23.0</v>
      </c>
      <c r="F55" s="4">
        <v>4408.55</v>
      </c>
    </row>
    <row r="56">
      <c r="A56" s="2">
        <v>44981.0</v>
      </c>
      <c r="B56" s="3">
        <v>17883.0</v>
      </c>
      <c r="C56" s="3">
        <v>482.0</v>
      </c>
      <c r="D56" s="4">
        <v>627.69</v>
      </c>
      <c r="E56" s="3">
        <v>6.0</v>
      </c>
      <c r="F56" s="4">
        <v>691.38</v>
      </c>
    </row>
    <row r="57">
      <c r="A57" s="2">
        <v>44982.0</v>
      </c>
      <c r="B57" s="3">
        <v>57777.0</v>
      </c>
      <c r="C57" s="3">
        <v>901.0</v>
      </c>
      <c r="D57" s="4">
        <v>1027.5</v>
      </c>
      <c r="E57" s="3">
        <v>16.0</v>
      </c>
      <c r="F57" s="4">
        <v>1914.41</v>
      </c>
    </row>
    <row r="58">
      <c r="A58" s="2">
        <v>44983.0</v>
      </c>
      <c r="B58" s="3">
        <v>81640.0</v>
      </c>
      <c r="C58" s="5">
        <v>2155.0</v>
      </c>
      <c r="D58" s="4">
        <v>2952.75</v>
      </c>
      <c r="E58" s="3">
        <v>35.0</v>
      </c>
      <c r="F58" s="4">
        <v>5690.84</v>
      </c>
    </row>
    <row r="59">
      <c r="A59" s="2">
        <v>44984.0</v>
      </c>
      <c r="B59" s="3">
        <v>44824.0</v>
      </c>
      <c r="C59" s="5">
        <v>1290.0</v>
      </c>
      <c r="D59" s="4">
        <v>2246.22</v>
      </c>
      <c r="E59" s="3">
        <v>16.0</v>
      </c>
      <c r="F59" s="4">
        <v>3222.16</v>
      </c>
    </row>
    <row r="60">
      <c r="A60" s="2">
        <v>44985.0</v>
      </c>
      <c r="B60" s="3">
        <v>14995.0</v>
      </c>
      <c r="C60" s="3">
        <v>169.0</v>
      </c>
      <c r="D60" s="4">
        <v>276.19</v>
      </c>
      <c r="E60" s="3">
        <v>2.0</v>
      </c>
      <c r="F60" s="4">
        <v>381.08</v>
      </c>
    </row>
    <row r="61">
      <c r="A61" s="2">
        <v>44986.0</v>
      </c>
      <c r="B61" s="3">
        <v>67762.0</v>
      </c>
      <c r="C61" s="5">
        <v>1314.0</v>
      </c>
      <c r="D61" s="4">
        <v>1708.95</v>
      </c>
      <c r="E61" s="3">
        <v>29.0</v>
      </c>
      <c r="F61" s="4">
        <v>4405.96</v>
      </c>
    </row>
    <row r="62">
      <c r="A62" s="2">
        <v>44987.0</v>
      </c>
      <c r="B62" s="3">
        <v>46410.0</v>
      </c>
      <c r="C62" s="5">
        <v>1299.0</v>
      </c>
      <c r="D62" s="4">
        <v>2066.17</v>
      </c>
      <c r="E62" s="3">
        <v>23.0</v>
      </c>
      <c r="F62" s="4">
        <v>3695.72</v>
      </c>
    </row>
    <row r="63">
      <c r="A63" s="2">
        <v>44988.0</v>
      </c>
      <c r="B63" s="3">
        <v>21953.0</v>
      </c>
      <c r="C63" s="3">
        <v>568.0</v>
      </c>
      <c r="D63" s="4">
        <v>693.67</v>
      </c>
      <c r="E63" s="3">
        <v>13.0</v>
      </c>
      <c r="F63" s="4">
        <v>2447.75</v>
      </c>
    </row>
    <row r="64">
      <c r="A64" s="2">
        <v>44989.0</v>
      </c>
      <c r="B64" s="3">
        <v>33528.0</v>
      </c>
      <c r="C64" s="3">
        <v>512.0</v>
      </c>
      <c r="D64" s="4">
        <v>815.63</v>
      </c>
      <c r="E64" s="3">
        <v>10.0</v>
      </c>
      <c r="F64" s="4">
        <v>2046.78</v>
      </c>
    </row>
    <row r="65">
      <c r="A65" s="2">
        <v>44990.0</v>
      </c>
      <c r="B65" s="3">
        <v>54650.0</v>
      </c>
      <c r="C65" s="5">
        <v>1306.0</v>
      </c>
      <c r="D65" s="4">
        <v>2298.79</v>
      </c>
      <c r="E65" s="3">
        <v>30.0</v>
      </c>
      <c r="F65" s="4">
        <v>3317.19</v>
      </c>
    </row>
    <row r="66">
      <c r="A66" s="2">
        <v>44991.0</v>
      </c>
      <c r="B66" s="3">
        <v>59691.0</v>
      </c>
      <c r="C66" s="5">
        <v>1331.0</v>
      </c>
      <c r="D66" s="4">
        <v>1623.95</v>
      </c>
      <c r="E66" s="3">
        <v>20.0</v>
      </c>
      <c r="F66" s="4">
        <v>4026.34</v>
      </c>
    </row>
    <row r="67">
      <c r="A67" s="2">
        <v>44992.0</v>
      </c>
      <c r="B67" s="3">
        <v>25009.0</v>
      </c>
      <c r="C67" s="3">
        <v>592.0</v>
      </c>
      <c r="D67" s="4">
        <v>610.49</v>
      </c>
      <c r="E67" s="3">
        <v>10.0</v>
      </c>
      <c r="F67" s="4">
        <v>1130.9</v>
      </c>
    </row>
    <row r="68">
      <c r="A68" s="2">
        <v>44993.0</v>
      </c>
      <c r="B68" s="3">
        <v>80702.0</v>
      </c>
      <c r="C68" s="5">
        <v>1985.0</v>
      </c>
      <c r="D68" s="4">
        <v>2104.38</v>
      </c>
      <c r="E68" s="3">
        <v>47.0</v>
      </c>
      <c r="F68" s="4">
        <v>4866.69</v>
      </c>
    </row>
    <row r="69">
      <c r="A69" s="2">
        <v>44994.0</v>
      </c>
      <c r="B69" s="3">
        <v>72929.0</v>
      </c>
      <c r="C69" s="5">
        <v>2093.0</v>
      </c>
      <c r="D69" s="4">
        <v>2804.7</v>
      </c>
      <c r="E69" s="3">
        <v>47.0</v>
      </c>
      <c r="F69" s="4">
        <v>6936.83</v>
      </c>
    </row>
    <row r="70">
      <c r="A70" s="2">
        <v>44995.0</v>
      </c>
      <c r="B70" s="3">
        <v>82617.0</v>
      </c>
      <c r="C70" s="5">
        <v>1949.0</v>
      </c>
      <c r="D70" s="4">
        <v>2983.13</v>
      </c>
      <c r="E70" s="3">
        <v>39.0</v>
      </c>
      <c r="F70" s="4">
        <v>7401.49</v>
      </c>
    </row>
    <row r="71">
      <c r="A71" s="2">
        <v>44996.0</v>
      </c>
      <c r="B71" s="3">
        <v>32703.0</v>
      </c>
      <c r="C71" s="3">
        <v>817.0</v>
      </c>
      <c r="D71" s="4">
        <v>964.73</v>
      </c>
      <c r="E71" s="3">
        <v>10.0</v>
      </c>
      <c r="F71" s="4">
        <v>1895.3</v>
      </c>
    </row>
    <row r="72">
      <c r="A72" s="2">
        <v>44997.0</v>
      </c>
      <c r="B72" s="3">
        <v>92119.0</v>
      </c>
      <c r="C72" s="5">
        <v>1538.0</v>
      </c>
      <c r="D72" s="4">
        <v>2092.2</v>
      </c>
      <c r="E72" s="3">
        <v>27.0</v>
      </c>
      <c r="F72" s="4">
        <v>4954.84</v>
      </c>
    </row>
    <row r="73">
      <c r="A73" s="2">
        <v>44998.0</v>
      </c>
      <c r="B73" s="3">
        <v>25896.0</v>
      </c>
      <c r="C73" s="3">
        <v>507.0</v>
      </c>
      <c r="D73" s="4">
        <v>695.35</v>
      </c>
      <c r="E73" s="3">
        <v>10.0</v>
      </c>
      <c r="F73" s="4">
        <v>1285.45</v>
      </c>
    </row>
    <row r="74">
      <c r="A74" s="2">
        <v>44999.0</v>
      </c>
      <c r="B74" s="3">
        <v>59317.0</v>
      </c>
      <c r="C74" s="3">
        <v>622.0</v>
      </c>
      <c r="D74" s="4">
        <v>1170.91</v>
      </c>
      <c r="E74" s="3">
        <v>8.0</v>
      </c>
      <c r="F74" s="4">
        <v>995.53</v>
      </c>
    </row>
    <row r="75">
      <c r="A75" s="2">
        <v>45000.0</v>
      </c>
      <c r="B75" s="3">
        <v>24567.0</v>
      </c>
      <c r="C75" s="3">
        <v>309.0</v>
      </c>
      <c r="D75" s="4">
        <v>318.83</v>
      </c>
      <c r="E75" s="3">
        <v>5.0</v>
      </c>
      <c r="F75" s="4">
        <v>959.46</v>
      </c>
    </row>
    <row r="76">
      <c r="A76" s="2">
        <v>45001.0</v>
      </c>
      <c r="B76" s="3">
        <v>24965.0</v>
      </c>
      <c r="C76" s="3">
        <v>509.0</v>
      </c>
      <c r="D76" s="4">
        <v>860.69</v>
      </c>
      <c r="E76" s="3">
        <v>9.0</v>
      </c>
      <c r="F76" s="4">
        <v>1031.1</v>
      </c>
    </row>
    <row r="77">
      <c r="A77" s="2">
        <v>45002.0</v>
      </c>
      <c r="B77" s="3">
        <v>52112.0</v>
      </c>
      <c r="C77" s="5">
        <v>1469.0</v>
      </c>
      <c r="D77" s="4">
        <v>2571.72</v>
      </c>
      <c r="E77" s="3">
        <v>36.0</v>
      </c>
      <c r="F77" s="4">
        <v>6948.81</v>
      </c>
    </row>
    <row r="78">
      <c r="A78" s="2">
        <v>45003.0</v>
      </c>
      <c r="B78" s="3">
        <v>38805.0</v>
      </c>
      <c r="C78" s="3">
        <v>667.0</v>
      </c>
      <c r="D78" s="4">
        <v>1041.21</v>
      </c>
      <c r="E78" s="3">
        <v>10.0</v>
      </c>
      <c r="F78" s="4">
        <v>1067.91</v>
      </c>
    </row>
    <row r="79">
      <c r="A79" s="2">
        <v>45004.0</v>
      </c>
      <c r="B79" s="3">
        <v>28757.0</v>
      </c>
      <c r="C79" s="3">
        <v>578.0</v>
      </c>
      <c r="D79" s="4">
        <v>838.12</v>
      </c>
      <c r="E79" s="3">
        <v>13.0</v>
      </c>
      <c r="F79" s="4">
        <v>2470.15</v>
      </c>
    </row>
    <row r="80">
      <c r="A80" s="2">
        <v>45005.0</v>
      </c>
      <c r="B80" s="3">
        <v>86041.0</v>
      </c>
      <c r="C80" s="3">
        <v>920.0</v>
      </c>
      <c r="D80" s="4">
        <v>1620.32</v>
      </c>
      <c r="E80" s="3">
        <v>22.0</v>
      </c>
      <c r="F80" s="4">
        <v>4071.62</v>
      </c>
    </row>
    <row r="81">
      <c r="A81" s="2">
        <v>45006.0</v>
      </c>
      <c r="B81" s="3">
        <v>32225.0</v>
      </c>
      <c r="C81" s="3">
        <v>757.0</v>
      </c>
      <c r="D81" s="4">
        <v>1431.27</v>
      </c>
      <c r="E81" s="3">
        <v>14.0</v>
      </c>
      <c r="F81" s="4">
        <v>1533.2</v>
      </c>
    </row>
    <row r="82">
      <c r="A82" s="2">
        <v>45007.0</v>
      </c>
      <c r="B82" s="3">
        <v>34968.0</v>
      </c>
      <c r="C82" s="5">
        <v>1003.0</v>
      </c>
      <c r="D82" s="4">
        <v>1204.29</v>
      </c>
      <c r="E82" s="3">
        <v>15.0</v>
      </c>
      <c r="F82" s="4">
        <v>2202.06</v>
      </c>
    </row>
    <row r="83">
      <c r="A83" s="2">
        <v>45008.0</v>
      </c>
      <c r="B83" s="3">
        <v>99565.0</v>
      </c>
      <c r="C83" s="5">
        <v>1712.0</v>
      </c>
      <c r="D83" s="4">
        <v>2123.52</v>
      </c>
      <c r="E83" s="3">
        <v>29.0</v>
      </c>
      <c r="F83" s="4">
        <v>4041.2</v>
      </c>
    </row>
    <row r="84">
      <c r="A84" s="2">
        <v>45009.0</v>
      </c>
      <c r="B84" s="3">
        <v>10200.0</v>
      </c>
      <c r="C84" s="3">
        <v>124.0</v>
      </c>
      <c r="D84" s="4">
        <v>200.34</v>
      </c>
      <c r="E84" s="3">
        <v>1.0</v>
      </c>
      <c r="F84" s="4">
        <v>203.21</v>
      </c>
    </row>
    <row r="85">
      <c r="A85" s="2">
        <v>45010.0</v>
      </c>
      <c r="B85" s="3">
        <v>72780.0</v>
      </c>
      <c r="C85" s="5">
        <v>1841.0</v>
      </c>
      <c r="D85" s="4">
        <v>3369.64</v>
      </c>
      <c r="E85" s="3">
        <v>31.0</v>
      </c>
      <c r="F85" s="4">
        <v>3809.9</v>
      </c>
    </row>
    <row r="86">
      <c r="A86" s="2">
        <v>45011.0</v>
      </c>
      <c r="B86" s="3">
        <v>24442.0</v>
      </c>
      <c r="C86" s="3">
        <v>589.0</v>
      </c>
      <c r="D86" s="4">
        <v>612.61</v>
      </c>
      <c r="E86" s="3">
        <v>13.0</v>
      </c>
      <c r="F86" s="4">
        <v>1422.56</v>
      </c>
    </row>
    <row r="87">
      <c r="A87" s="2">
        <v>45012.0</v>
      </c>
      <c r="B87" s="3">
        <v>81070.0</v>
      </c>
      <c r="C87" s="5">
        <v>1086.0</v>
      </c>
      <c r="D87" s="4">
        <v>1357.92</v>
      </c>
      <c r="E87" s="3">
        <v>21.0</v>
      </c>
      <c r="F87" s="4">
        <v>2675.11</v>
      </c>
    </row>
    <row r="88">
      <c r="A88" s="2">
        <v>45013.0</v>
      </c>
      <c r="B88" s="3">
        <v>13535.0</v>
      </c>
      <c r="C88" s="3">
        <v>312.0</v>
      </c>
      <c r="D88" s="4">
        <v>425.21</v>
      </c>
      <c r="E88" s="3">
        <v>5.0</v>
      </c>
      <c r="F88" s="4">
        <v>999.26</v>
      </c>
    </row>
    <row r="89">
      <c r="A89" s="2">
        <v>45014.0</v>
      </c>
      <c r="B89" s="3">
        <v>74290.0</v>
      </c>
      <c r="C89" s="5">
        <v>2213.0</v>
      </c>
      <c r="D89" s="4">
        <v>3984.91</v>
      </c>
      <c r="E89" s="3">
        <v>33.0</v>
      </c>
      <c r="F89" s="4">
        <v>5622.72</v>
      </c>
    </row>
    <row r="90">
      <c r="A90" s="2">
        <v>45015.0</v>
      </c>
      <c r="B90" s="3">
        <v>57867.0</v>
      </c>
      <c r="C90" s="3">
        <v>758.0</v>
      </c>
      <c r="D90" s="4">
        <v>962.73</v>
      </c>
      <c r="E90" s="3">
        <v>12.0</v>
      </c>
      <c r="F90" s="4">
        <v>1342.52</v>
      </c>
    </row>
    <row r="91">
      <c r="A91" s="2">
        <v>45016.0</v>
      </c>
      <c r="B91" s="3">
        <v>52354.0</v>
      </c>
      <c r="C91" s="3">
        <v>696.0</v>
      </c>
      <c r="D91" s="4">
        <v>912.16</v>
      </c>
      <c r="E91" s="3">
        <v>14.0</v>
      </c>
      <c r="F91" s="4">
        <v>1643.15</v>
      </c>
    </row>
    <row r="92">
      <c r="A92" s="2">
        <v>45017.0</v>
      </c>
      <c r="B92" s="3">
        <v>70893.0</v>
      </c>
      <c r="C92" s="5">
        <v>1198.0</v>
      </c>
      <c r="D92" s="4">
        <v>1737.23</v>
      </c>
      <c r="E92" s="3">
        <v>25.0</v>
      </c>
      <c r="F92" s="4">
        <v>2628.49</v>
      </c>
    </row>
    <row r="93">
      <c r="A93" s="2">
        <v>45018.0</v>
      </c>
      <c r="B93" s="3">
        <v>90617.0</v>
      </c>
      <c r="C93" s="5">
        <v>1739.0</v>
      </c>
      <c r="D93" s="4">
        <v>3305.7</v>
      </c>
      <c r="E93" s="3">
        <v>42.0</v>
      </c>
      <c r="F93" s="4">
        <v>4555.27</v>
      </c>
    </row>
    <row r="94">
      <c r="A94" s="2">
        <v>45019.0</v>
      </c>
      <c r="B94" s="3">
        <v>27366.0</v>
      </c>
      <c r="C94" s="3">
        <v>325.0</v>
      </c>
      <c r="D94" s="4">
        <v>494.99</v>
      </c>
      <c r="E94" s="3">
        <v>7.0</v>
      </c>
      <c r="F94" s="4">
        <v>821.56</v>
      </c>
    </row>
    <row r="95">
      <c r="A95" s="2">
        <v>45020.0</v>
      </c>
      <c r="B95" s="3">
        <v>72668.0</v>
      </c>
      <c r="C95" s="5">
        <v>2172.0</v>
      </c>
      <c r="D95" s="4">
        <v>3020.15</v>
      </c>
      <c r="E95" s="3">
        <v>51.0</v>
      </c>
      <c r="F95" s="4">
        <v>6488.34</v>
      </c>
    </row>
    <row r="96">
      <c r="A96" s="2">
        <v>45021.0</v>
      </c>
      <c r="B96" s="3">
        <v>19183.0</v>
      </c>
      <c r="C96" s="3">
        <v>448.0</v>
      </c>
      <c r="D96" s="4">
        <v>763.09</v>
      </c>
      <c r="E96" s="3">
        <v>7.0</v>
      </c>
      <c r="F96" s="4">
        <v>723.42</v>
      </c>
    </row>
    <row r="97">
      <c r="A97" s="2">
        <v>45022.0</v>
      </c>
      <c r="B97" s="3">
        <v>95464.0</v>
      </c>
      <c r="C97" s="5">
        <v>1785.0</v>
      </c>
      <c r="D97" s="4">
        <v>2802.72</v>
      </c>
      <c r="E97" s="3">
        <v>32.0</v>
      </c>
      <c r="F97" s="4">
        <v>4959.94</v>
      </c>
    </row>
    <row r="98">
      <c r="A98" s="2">
        <v>45023.0</v>
      </c>
      <c r="B98" s="3">
        <v>81947.0</v>
      </c>
      <c r="C98" s="5">
        <v>2114.0</v>
      </c>
      <c r="D98" s="4">
        <v>3657.62</v>
      </c>
      <c r="E98" s="3">
        <v>43.0</v>
      </c>
      <c r="F98" s="4">
        <v>6520.93</v>
      </c>
    </row>
    <row r="99">
      <c r="A99" s="2">
        <v>45024.0</v>
      </c>
      <c r="B99" s="3">
        <v>82060.0</v>
      </c>
      <c r="C99" s="5">
        <v>1928.0</v>
      </c>
      <c r="D99" s="4">
        <v>3779.68</v>
      </c>
      <c r="E99" s="3">
        <v>29.0</v>
      </c>
      <c r="F99" s="4">
        <v>5627.87</v>
      </c>
    </row>
    <row r="100">
      <c r="A100" s="2">
        <v>45025.0</v>
      </c>
      <c r="B100" s="3">
        <v>56322.0</v>
      </c>
      <c r="C100" s="3">
        <v>597.0</v>
      </c>
      <c r="D100" s="4">
        <v>847.75</v>
      </c>
      <c r="E100" s="3">
        <v>12.0</v>
      </c>
      <c r="F100" s="4">
        <v>1322.5</v>
      </c>
    </row>
    <row r="101">
      <c r="A101" s="2">
        <v>45026.0</v>
      </c>
      <c r="B101" s="3">
        <v>49678.0</v>
      </c>
      <c r="C101" s="3">
        <v>869.0</v>
      </c>
      <c r="D101" s="4">
        <v>1130.17</v>
      </c>
      <c r="E101" s="3">
        <v>12.0</v>
      </c>
      <c r="F101" s="4">
        <v>1752.21</v>
      </c>
    </row>
    <row r="102">
      <c r="A102" s="2">
        <v>45027.0</v>
      </c>
      <c r="B102" s="3">
        <v>72964.0</v>
      </c>
      <c r="C102" s="5">
        <v>1955.0</v>
      </c>
      <c r="D102" s="4">
        <v>2600.72</v>
      </c>
      <c r="E102" s="3">
        <v>37.0</v>
      </c>
      <c r="F102" s="4">
        <v>7093.93</v>
      </c>
    </row>
    <row r="103">
      <c r="A103" s="2">
        <v>45028.0</v>
      </c>
      <c r="B103" s="3">
        <v>94115.0</v>
      </c>
      <c r="C103" s="5">
        <v>1665.0</v>
      </c>
      <c r="D103" s="4">
        <v>2048.97</v>
      </c>
      <c r="E103" s="3">
        <v>21.0</v>
      </c>
      <c r="F103" s="4">
        <v>2369.48</v>
      </c>
    </row>
    <row r="104">
      <c r="A104" s="2">
        <v>45029.0</v>
      </c>
      <c r="B104" s="3">
        <v>20642.0</v>
      </c>
      <c r="C104" s="3">
        <v>433.0</v>
      </c>
      <c r="D104" s="4">
        <v>732.58</v>
      </c>
      <c r="E104" s="3">
        <v>6.0</v>
      </c>
      <c r="F104" s="4">
        <v>907.06</v>
      </c>
    </row>
    <row r="105">
      <c r="A105" s="2">
        <v>45030.0</v>
      </c>
      <c r="B105" s="3">
        <v>79972.0</v>
      </c>
      <c r="C105" s="5">
        <v>1007.0</v>
      </c>
      <c r="D105" s="4">
        <v>1440.93</v>
      </c>
      <c r="E105" s="3">
        <v>21.0</v>
      </c>
      <c r="F105" s="4">
        <v>3289.77</v>
      </c>
    </row>
    <row r="106">
      <c r="A106" s="2">
        <v>45031.0</v>
      </c>
      <c r="B106" s="3">
        <v>93812.0</v>
      </c>
      <c r="C106" s="5">
        <v>1979.0</v>
      </c>
      <c r="D106" s="4">
        <v>3919.27</v>
      </c>
      <c r="E106" s="3">
        <v>36.0</v>
      </c>
      <c r="F106" s="4">
        <v>6085.57</v>
      </c>
    </row>
    <row r="107">
      <c r="A107" s="2">
        <v>45032.0</v>
      </c>
      <c r="B107" s="3">
        <v>22628.0</v>
      </c>
      <c r="C107" s="3">
        <v>359.0</v>
      </c>
      <c r="D107" s="4">
        <v>395.76</v>
      </c>
      <c r="E107" s="3">
        <v>8.0</v>
      </c>
      <c r="F107" s="4">
        <v>1309.91</v>
      </c>
    </row>
    <row r="108">
      <c r="A108" s="2">
        <v>45033.0</v>
      </c>
      <c r="B108" s="3">
        <v>87129.0</v>
      </c>
      <c r="C108" s="5">
        <v>1054.0</v>
      </c>
      <c r="D108" s="4">
        <v>1823.87</v>
      </c>
      <c r="E108" s="3">
        <v>20.0</v>
      </c>
      <c r="F108" s="4">
        <v>3558.76</v>
      </c>
    </row>
    <row r="109">
      <c r="A109" s="2">
        <v>45034.0</v>
      </c>
      <c r="B109" s="3">
        <v>95649.0</v>
      </c>
      <c r="C109" s="5">
        <v>1817.0</v>
      </c>
      <c r="D109" s="4">
        <v>2580.61</v>
      </c>
      <c r="E109" s="3">
        <v>45.0</v>
      </c>
      <c r="F109" s="4">
        <v>6199.46</v>
      </c>
    </row>
    <row r="110">
      <c r="A110" s="2">
        <v>45035.0</v>
      </c>
      <c r="B110" s="3">
        <v>21527.0</v>
      </c>
      <c r="C110" s="3">
        <v>398.0</v>
      </c>
      <c r="D110" s="4">
        <v>740.74</v>
      </c>
      <c r="E110" s="3">
        <v>4.0</v>
      </c>
      <c r="F110" s="4">
        <v>726.81</v>
      </c>
    </row>
    <row r="111">
      <c r="A111" s="2">
        <v>45036.0</v>
      </c>
      <c r="B111" s="3">
        <v>43354.0</v>
      </c>
      <c r="C111" s="3">
        <v>715.0</v>
      </c>
      <c r="D111" s="4">
        <v>1266.15</v>
      </c>
      <c r="E111" s="3">
        <v>17.0</v>
      </c>
      <c r="F111" s="4">
        <v>3273.11</v>
      </c>
    </row>
    <row r="112">
      <c r="A112" s="2">
        <v>45037.0</v>
      </c>
      <c r="B112" s="3">
        <v>84934.0</v>
      </c>
      <c r="C112" s="5">
        <v>2361.0</v>
      </c>
      <c r="D112" s="4">
        <v>3423.68</v>
      </c>
      <c r="E112" s="3">
        <v>56.0</v>
      </c>
      <c r="F112" s="4">
        <v>10002.84</v>
      </c>
    </row>
    <row r="113">
      <c r="A113" s="2">
        <v>45038.0</v>
      </c>
      <c r="B113" s="3">
        <v>84996.0</v>
      </c>
      <c r="C113" s="5">
        <v>1971.0</v>
      </c>
      <c r="D113" s="4">
        <v>3707.18</v>
      </c>
      <c r="E113" s="3">
        <v>27.0</v>
      </c>
      <c r="F113" s="4">
        <v>4615.45</v>
      </c>
    </row>
    <row r="114">
      <c r="A114" s="2">
        <v>45039.0</v>
      </c>
      <c r="B114" s="3">
        <v>83171.0</v>
      </c>
      <c r="C114" s="5">
        <v>2062.0</v>
      </c>
      <c r="D114" s="4">
        <v>2062.64</v>
      </c>
      <c r="E114" s="3">
        <v>40.0</v>
      </c>
      <c r="F114" s="4">
        <v>6023.74</v>
      </c>
    </row>
    <row r="115">
      <c r="A115" s="2">
        <v>45040.0</v>
      </c>
      <c r="B115" s="3">
        <v>95234.0</v>
      </c>
      <c r="C115" s="5">
        <v>1019.0</v>
      </c>
      <c r="D115" s="4">
        <v>1966.67</v>
      </c>
      <c r="E115" s="3">
        <v>25.0</v>
      </c>
      <c r="F115" s="4">
        <v>3885.46</v>
      </c>
    </row>
    <row r="116">
      <c r="A116" s="2">
        <v>45041.0</v>
      </c>
      <c r="B116" s="3">
        <v>45282.0</v>
      </c>
      <c r="C116" s="5">
        <v>1041.0</v>
      </c>
      <c r="D116" s="4">
        <v>2082.97</v>
      </c>
      <c r="E116" s="3">
        <v>25.0</v>
      </c>
      <c r="F116" s="4">
        <v>4501.82</v>
      </c>
    </row>
    <row r="117">
      <c r="A117" s="2">
        <v>45042.0</v>
      </c>
      <c r="B117" s="3">
        <v>77080.0</v>
      </c>
      <c r="C117" s="3">
        <v>963.0</v>
      </c>
      <c r="D117" s="4">
        <v>1734.3</v>
      </c>
      <c r="E117" s="3">
        <v>20.0</v>
      </c>
      <c r="F117" s="4">
        <v>3491.63</v>
      </c>
    </row>
    <row r="118">
      <c r="A118" s="2">
        <v>45043.0</v>
      </c>
      <c r="B118" s="3">
        <v>26490.0</v>
      </c>
      <c r="C118" s="3">
        <v>550.0</v>
      </c>
      <c r="D118" s="4">
        <v>1013.82</v>
      </c>
      <c r="E118" s="3">
        <v>9.0</v>
      </c>
      <c r="F118" s="4">
        <v>1207.33</v>
      </c>
    </row>
    <row r="119">
      <c r="A119" s="2">
        <v>45044.0</v>
      </c>
      <c r="B119" s="3">
        <v>62976.0</v>
      </c>
      <c r="C119" s="3">
        <v>699.0</v>
      </c>
      <c r="D119" s="4">
        <v>831.84</v>
      </c>
      <c r="E119" s="3">
        <v>13.0</v>
      </c>
      <c r="F119" s="4">
        <v>2278.85</v>
      </c>
    </row>
    <row r="120">
      <c r="A120" s="2">
        <v>45045.0</v>
      </c>
      <c r="B120" s="3">
        <v>40110.0</v>
      </c>
      <c r="C120" s="3">
        <v>842.0</v>
      </c>
      <c r="D120" s="4">
        <v>1103.42</v>
      </c>
      <c r="E120" s="3">
        <v>15.0</v>
      </c>
      <c r="F120" s="4">
        <v>2020.36</v>
      </c>
    </row>
    <row r="121">
      <c r="A121" s="2">
        <v>45046.0</v>
      </c>
      <c r="B121" s="3">
        <v>67890.0</v>
      </c>
      <c r="C121" s="5">
        <v>1357.0</v>
      </c>
      <c r="D121" s="4">
        <v>2335.41</v>
      </c>
      <c r="E121" s="3">
        <v>25.0</v>
      </c>
      <c r="F121" s="4">
        <v>3315.75</v>
      </c>
    </row>
    <row r="122">
      <c r="A122" s="2">
        <v>45047.0</v>
      </c>
      <c r="B122" s="3">
        <v>12671.0</v>
      </c>
      <c r="C122" s="3">
        <v>219.0</v>
      </c>
      <c r="D122" s="4">
        <v>326.62</v>
      </c>
      <c r="E122" s="3">
        <v>4.0</v>
      </c>
      <c r="F122" s="4">
        <v>591.86</v>
      </c>
    </row>
    <row r="123">
      <c r="A123" s="2">
        <v>45048.0</v>
      </c>
      <c r="B123" s="3">
        <v>94264.0</v>
      </c>
      <c r="C123" s="5">
        <v>1300.0</v>
      </c>
      <c r="D123" s="4">
        <v>1743.12</v>
      </c>
      <c r="E123" s="3">
        <v>24.0</v>
      </c>
      <c r="F123" s="4">
        <v>2690.14</v>
      </c>
    </row>
    <row r="124">
      <c r="A124" s="2">
        <v>45049.0</v>
      </c>
      <c r="B124" s="3">
        <v>59532.0</v>
      </c>
      <c r="C124" s="5">
        <v>1375.0</v>
      </c>
      <c r="D124" s="4">
        <v>2214.05</v>
      </c>
      <c r="E124" s="3">
        <v>27.0</v>
      </c>
      <c r="F124" s="4">
        <v>3538.09</v>
      </c>
    </row>
    <row r="125">
      <c r="A125" s="2">
        <v>45050.0</v>
      </c>
      <c r="B125" s="3">
        <v>51990.0</v>
      </c>
      <c r="C125" s="5">
        <v>1346.0</v>
      </c>
      <c r="D125" s="4">
        <v>2073.67</v>
      </c>
      <c r="E125" s="3">
        <v>28.0</v>
      </c>
      <c r="F125" s="4">
        <v>4637.49</v>
      </c>
    </row>
    <row r="126">
      <c r="A126" s="2">
        <v>45051.0</v>
      </c>
      <c r="B126" s="3">
        <v>88738.0</v>
      </c>
      <c r="C126" s="5">
        <v>1757.0</v>
      </c>
      <c r="D126" s="4">
        <v>3057.2</v>
      </c>
      <c r="E126" s="3">
        <v>43.0</v>
      </c>
      <c r="F126" s="4">
        <v>7262.44</v>
      </c>
    </row>
    <row r="127">
      <c r="A127" s="2">
        <v>45052.0</v>
      </c>
      <c r="B127" s="3">
        <v>50381.0</v>
      </c>
      <c r="C127" s="3">
        <v>911.0</v>
      </c>
      <c r="D127" s="4">
        <v>966.6</v>
      </c>
      <c r="E127" s="3">
        <v>17.0</v>
      </c>
      <c r="F127" s="4">
        <v>2748.82</v>
      </c>
    </row>
    <row r="128">
      <c r="A128" s="2">
        <v>45053.0</v>
      </c>
      <c r="B128" s="3">
        <v>70628.0</v>
      </c>
      <c r="C128" s="5">
        <v>1808.0</v>
      </c>
      <c r="D128" s="4">
        <v>3561.91</v>
      </c>
      <c r="E128" s="3">
        <v>26.0</v>
      </c>
      <c r="F128" s="4">
        <v>2997.07</v>
      </c>
    </row>
    <row r="129">
      <c r="A129" s="2">
        <v>45054.0</v>
      </c>
      <c r="B129" s="3">
        <v>22138.0</v>
      </c>
      <c r="C129" s="3">
        <v>456.0</v>
      </c>
      <c r="D129" s="4">
        <v>574.61</v>
      </c>
      <c r="E129" s="3">
        <v>6.0</v>
      </c>
      <c r="F129" s="4">
        <v>979.94</v>
      </c>
    </row>
    <row r="130">
      <c r="A130" s="2">
        <v>45055.0</v>
      </c>
      <c r="B130" s="3">
        <v>78604.0</v>
      </c>
      <c r="C130" s="5">
        <v>1965.0</v>
      </c>
      <c r="D130" s="4">
        <v>2397.42</v>
      </c>
      <c r="E130" s="3">
        <v>45.0</v>
      </c>
      <c r="F130" s="4">
        <v>6809.07</v>
      </c>
    </row>
    <row r="131">
      <c r="A131" s="2">
        <v>45056.0</v>
      </c>
      <c r="B131" s="3">
        <v>68678.0</v>
      </c>
      <c r="C131" s="5">
        <v>1936.0</v>
      </c>
      <c r="D131" s="4">
        <v>3776.6</v>
      </c>
      <c r="E131" s="3">
        <v>40.0</v>
      </c>
      <c r="F131" s="4">
        <v>5813.06</v>
      </c>
    </row>
    <row r="132">
      <c r="A132" s="2">
        <v>45057.0</v>
      </c>
      <c r="B132" s="3">
        <v>10897.0</v>
      </c>
      <c r="C132" s="3">
        <v>232.0</v>
      </c>
      <c r="D132" s="4">
        <v>461.89</v>
      </c>
      <c r="E132" s="3">
        <v>4.0</v>
      </c>
      <c r="F132" s="4">
        <v>447.78</v>
      </c>
    </row>
    <row r="133">
      <c r="A133" s="2">
        <v>45058.0</v>
      </c>
      <c r="B133" s="3">
        <v>29715.0</v>
      </c>
      <c r="C133" s="3">
        <v>763.0</v>
      </c>
      <c r="D133" s="4">
        <v>1290.61</v>
      </c>
      <c r="E133" s="3">
        <v>11.0</v>
      </c>
      <c r="F133" s="4">
        <v>2358.84</v>
      </c>
    </row>
    <row r="134">
      <c r="A134" s="2">
        <v>45059.0</v>
      </c>
      <c r="B134" s="3">
        <v>44675.0</v>
      </c>
      <c r="C134" s="3">
        <v>768.0</v>
      </c>
      <c r="D134" s="4">
        <v>1068.08</v>
      </c>
      <c r="E134" s="3">
        <v>13.0</v>
      </c>
      <c r="F134" s="4">
        <v>1734.69</v>
      </c>
    </row>
    <row r="135">
      <c r="A135" s="2">
        <v>45060.0</v>
      </c>
      <c r="B135" s="3">
        <v>98876.0</v>
      </c>
      <c r="C135" s="5">
        <v>1522.0</v>
      </c>
      <c r="D135" s="4">
        <v>2969.24</v>
      </c>
      <c r="E135" s="3">
        <v>20.0</v>
      </c>
      <c r="F135" s="4">
        <v>2127.81</v>
      </c>
    </row>
    <row r="136">
      <c r="A136" s="2">
        <v>45061.0</v>
      </c>
      <c r="B136" s="3">
        <v>17231.0</v>
      </c>
      <c r="C136" s="3">
        <v>349.0</v>
      </c>
      <c r="D136" s="4">
        <v>360.28</v>
      </c>
      <c r="E136" s="3">
        <v>8.0</v>
      </c>
      <c r="F136" s="4">
        <v>920.65</v>
      </c>
    </row>
    <row r="137">
      <c r="A137" s="2">
        <v>45062.0</v>
      </c>
      <c r="B137" s="3">
        <v>58192.0</v>
      </c>
      <c r="C137" s="5">
        <v>1187.0</v>
      </c>
      <c r="D137" s="4">
        <v>1483.89</v>
      </c>
      <c r="E137" s="3">
        <v>29.0</v>
      </c>
      <c r="F137" s="4">
        <v>4689.11</v>
      </c>
    </row>
    <row r="138">
      <c r="A138" s="2">
        <v>45063.0</v>
      </c>
      <c r="B138" s="3">
        <v>46401.0</v>
      </c>
      <c r="C138" s="3">
        <v>969.0</v>
      </c>
      <c r="D138" s="4">
        <v>1299.5</v>
      </c>
      <c r="E138" s="3">
        <v>15.0</v>
      </c>
      <c r="F138" s="4">
        <v>1955.08</v>
      </c>
    </row>
    <row r="139">
      <c r="A139" s="2">
        <v>45064.0</v>
      </c>
      <c r="B139" s="3">
        <v>92964.0</v>
      </c>
      <c r="C139" s="5">
        <v>1422.0</v>
      </c>
      <c r="D139" s="4">
        <v>2474.88</v>
      </c>
      <c r="E139" s="3">
        <v>34.0</v>
      </c>
      <c r="F139" s="4">
        <v>5772.04</v>
      </c>
    </row>
    <row r="140">
      <c r="A140" s="2">
        <v>45065.0</v>
      </c>
      <c r="B140" s="3">
        <v>65281.0</v>
      </c>
      <c r="C140" s="5">
        <v>1827.0</v>
      </c>
      <c r="D140" s="4">
        <v>2412.78</v>
      </c>
      <c r="E140" s="3">
        <v>42.0</v>
      </c>
      <c r="F140" s="4">
        <v>6657.83</v>
      </c>
    </row>
    <row r="141">
      <c r="A141" s="2">
        <v>45066.0</v>
      </c>
      <c r="B141" s="3">
        <v>80391.0</v>
      </c>
      <c r="C141" s="3">
        <v>819.0</v>
      </c>
      <c r="D141" s="4">
        <v>992.18</v>
      </c>
      <c r="E141" s="3">
        <v>11.0</v>
      </c>
      <c r="F141" s="4">
        <v>1185.37</v>
      </c>
    </row>
    <row r="142">
      <c r="A142" s="2">
        <v>45067.0</v>
      </c>
      <c r="B142" s="3">
        <v>88277.0</v>
      </c>
      <c r="C142" s="5">
        <v>1129.0</v>
      </c>
      <c r="D142" s="4">
        <v>1627.12</v>
      </c>
      <c r="E142" s="3">
        <v>25.0</v>
      </c>
      <c r="F142" s="4">
        <v>4606.56</v>
      </c>
    </row>
    <row r="143">
      <c r="A143" s="2">
        <v>45068.0</v>
      </c>
      <c r="B143" s="3">
        <v>60190.0</v>
      </c>
      <c r="C143" s="3">
        <v>625.0</v>
      </c>
      <c r="D143" s="4">
        <v>1214.39</v>
      </c>
      <c r="E143" s="3">
        <v>14.0</v>
      </c>
      <c r="F143" s="4">
        <v>2140.09</v>
      </c>
    </row>
    <row r="144">
      <c r="A144" s="2">
        <v>45069.0</v>
      </c>
      <c r="B144" s="3">
        <v>74681.0</v>
      </c>
      <c r="C144" s="5">
        <v>1112.0</v>
      </c>
      <c r="D144" s="4">
        <v>1780.39</v>
      </c>
      <c r="E144" s="3">
        <v>19.0</v>
      </c>
      <c r="F144" s="4">
        <v>3310.87</v>
      </c>
    </row>
    <row r="145">
      <c r="A145" s="2">
        <v>45070.0</v>
      </c>
      <c r="B145" s="3">
        <v>87812.0</v>
      </c>
      <c r="C145" s="5">
        <v>1001.0</v>
      </c>
      <c r="D145" s="4">
        <v>1471.55</v>
      </c>
      <c r="E145" s="3">
        <v>17.0</v>
      </c>
      <c r="F145" s="4">
        <v>2575.22</v>
      </c>
    </row>
    <row r="146">
      <c r="A146" s="2">
        <v>45071.0</v>
      </c>
      <c r="B146" s="3">
        <v>67385.0</v>
      </c>
      <c r="C146" s="5">
        <v>1886.0</v>
      </c>
      <c r="D146" s="4">
        <v>3396.2</v>
      </c>
      <c r="E146" s="3">
        <v>26.0</v>
      </c>
      <c r="F146" s="4">
        <v>3591.49</v>
      </c>
    </row>
    <row r="147">
      <c r="A147" s="2">
        <v>45072.0</v>
      </c>
      <c r="B147" s="3">
        <v>74469.0</v>
      </c>
      <c r="C147" s="5">
        <v>1928.0</v>
      </c>
      <c r="D147" s="4">
        <v>3799.63</v>
      </c>
      <c r="E147" s="3">
        <v>41.0</v>
      </c>
      <c r="F147" s="4">
        <v>6356.38</v>
      </c>
    </row>
    <row r="148">
      <c r="A148" s="2">
        <v>45073.0</v>
      </c>
      <c r="B148" s="3">
        <v>32768.0</v>
      </c>
      <c r="C148" s="3">
        <v>691.0</v>
      </c>
      <c r="D148" s="4">
        <v>898.82</v>
      </c>
      <c r="E148" s="3">
        <v>9.0</v>
      </c>
      <c r="F148" s="4">
        <v>1717.45</v>
      </c>
    </row>
    <row r="149">
      <c r="A149" s="2">
        <v>45074.0</v>
      </c>
      <c r="B149" s="3">
        <v>76936.0</v>
      </c>
      <c r="C149" s="5">
        <v>2100.0</v>
      </c>
      <c r="D149" s="4">
        <v>3591.6</v>
      </c>
      <c r="E149" s="3">
        <v>46.0</v>
      </c>
      <c r="F149" s="4">
        <v>8363.6</v>
      </c>
    </row>
    <row r="150">
      <c r="A150" s="2">
        <v>45075.0</v>
      </c>
      <c r="B150" s="3">
        <v>59774.0</v>
      </c>
      <c r="C150" s="5">
        <v>1267.0</v>
      </c>
      <c r="D150" s="4">
        <v>1267.2</v>
      </c>
      <c r="E150" s="3">
        <v>30.0</v>
      </c>
      <c r="F150" s="4">
        <v>3833.31</v>
      </c>
    </row>
    <row r="151">
      <c r="A151" s="2">
        <v>45076.0</v>
      </c>
      <c r="B151" s="3">
        <v>41440.0</v>
      </c>
      <c r="C151" s="5">
        <v>1152.0</v>
      </c>
      <c r="D151" s="4">
        <v>2073.65</v>
      </c>
      <c r="E151" s="3">
        <v>20.0</v>
      </c>
      <c r="F151" s="4">
        <v>3855.16</v>
      </c>
    </row>
    <row r="152">
      <c r="A152" s="2">
        <v>45077.0</v>
      </c>
      <c r="B152" s="3">
        <v>23140.0</v>
      </c>
      <c r="C152" s="3">
        <v>310.0</v>
      </c>
      <c r="D152" s="4">
        <v>403.09</v>
      </c>
      <c r="E152" s="3">
        <v>4.0</v>
      </c>
      <c r="F152" s="4">
        <v>656.49</v>
      </c>
    </row>
    <row r="153">
      <c r="A153" s="2">
        <v>45078.0</v>
      </c>
      <c r="B153" s="3">
        <v>53053.0</v>
      </c>
      <c r="C153" s="5">
        <v>1183.0</v>
      </c>
      <c r="D153" s="4">
        <v>1301.39</v>
      </c>
      <c r="E153" s="3">
        <v>20.0</v>
      </c>
      <c r="F153" s="4">
        <v>2701.33</v>
      </c>
    </row>
    <row r="154">
      <c r="A154" s="2">
        <v>45079.0</v>
      </c>
      <c r="B154" s="3">
        <v>95715.0</v>
      </c>
      <c r="C154" s="5">
        <v>1713.0</v>
      </c>
      <c r="D154" s="4">
        <v>3289.53</v>
      </c>
      <c r="E154" s="3">
        <v>39.0</v>
      </c>
      <c r="F154" s="4">
        <v>4257.89</v>
      </c>
    </row>
    <row r="155">
      <c r="A155" s="2">
        <v>45080.0</v>
      </c>
      <c r="B155" s="3">
        <v>26361.0</v>
      </c>
      <c r="C155" s="3">
        <v>550.0</v>
      </c>
      <c r="D155" s="4">
        <v>1013.73</v>
      </c>
      <c r="E155" s="3">
        <v>13.0</v>
      </c>
      <c r="F155" s="4">
        <v>2500.41</v>
      </c>
    </row>
    <row r="156">
      <c r="A156" s="2">
        <v>45081.0</v>
      </c>
      <c r="B156" s="3">
        <v>55684.0</v>
      </c>
      <c r="C156" s="5">
        <v>1219.0</v>
      </c>
      <c r="D156" s="4">
        <v>2060.92</v>
      </c>
      <c r="E156" s="3">
        <v>30.0</v>
      </c>
      <c r="F156" s="4">
        <v>3326.74</v>
      </c>
    </row>
    <row r="157">
      <c r="A157" s="2">
        <v>45082.0</v>
      </c>
      <c r="B157" s="3">
        <v>66949.0</v>
      </c>
      <c r="C157" s="5">
        <v>1988.0</v>
      </c>
      <c r="D157" s="4">
        <v>2167.33</v>
      </c>
      <c r="E157" s="3">
        <v>40.0</v>
      </c>
      <c r="F157" s="4">
        <v>5079.13</v>
      </c>
    </row>
    <row r="158">
      <c r="A158" s="2">
        <v>45083.0</v>
      </c>
      <c r="B158" s="3">
        <v>76208.0</v>
      </c>
      <c r="C158" s="5">
        <v>1364.0</v>
      </c>
      <c r="D158" s="4">
        <v>2578.19</v>
      </c>
      <c r="E158" s="3">
        <v>28.0</v>
      </c>
      <c r="F158" s="4">
        <v>3051.0</v>
      </c>
    </row>
    <row r="159">
      <c r="A159" s="2">
        <v>45084.0</v>
      </c>
      <c r="B159" s="3">
        <v>72025.0</v>
      </c>
      <c r="C159" s="5">
        <v>1577.0</v>
      </c>
      <c r="D159" s="4">
        <v>2082.09</v>
      </c>
      <c r="E159" s="3">
        <v>35.0</v>
      </c>
      <c r="F159" s="4">
        <v>6960.52</v>
      </c>
    </row>
    <row r="160">
      <c r="A160" s="2">
        <v>45085.0</v>
      </c>
      <c r="B160" s="3">
        <v>91551.0</v>
      </c>
      <c r="C160" s="5">
        <v>2087.0</v>
      </c>
      <c r="D160" s="4">
        <v>2671.82</v>
      </c>
      <c r="E160" s="3">
        <v>35.0</v>
      </c>
      <c r="F160" s="4">
        <v>6710.45</v>
      </c>
    </row>
    <row r="161">
      <c r="A161" s="2">
        <v>45086.0</v>
      </c>
      <c r="B161" s="3">
        <v>43530.0</v>
      </c>
      <c r="C161" s="3">
        <v>622.0</v>
      </c>
      <c r="D161" s="4">
        <v>890.14</v>
      </c>
      <c r="E161" s="3">
        <v>8.0</v>
      </c>
      <c r="F161" s="4">
        <v>1125.69</v>
      </c>
    </row>
    <row r="162">
      <c r="A162" s="2">
        <v>45087.0</v>
      </c>
      <c r="B162" s="3">
        <v>86963.0</v>
      </c>
      <c r="C162" s="5">
        <v>2304.0</v>
      </c>
      <c r="D162" s="4">
        <v>2465.83</v>
      </c>
      <c r="E162" s="3">
        <v>30.0</v>
      </c>
      <c r="F162" s="4">
        <v>4076.46</v>
      </c>
    </row>
    <row r="163">
      <c r="A163" s="2">
        <v>45088.0</v>
      </c>
      <c r="B163" s="3">
        <v>87979.0</v>
      </c>
      <c r="C163" s="5">
        <v>1205.0</v>
      </c>
      <c r="D163" s="4">
        <v>1446.37</v>
      </c>
      <c r="E163" s="3">
        <v>15.0</v>
      </c>
      <c r="F163" s="4">
        <v>2768.36</v>
      </c>
    </row>
    <row r="164">
      <c r="A164" s="2">
        <v>45089.0</v>
      </c>
      <c r="B164" s="3">
        <v>19976.0</v>
      </c>
      <c r="C164" s="3">
        <v>423.0</v>
      </c>
      <c r="D164" s="4">
        <v>436.19</v>
      </c>
      <c r="E164" s="3">
        <v>8.0</v>
      </c>
      <c r="F164" s="4">
        <v>1471.04</v>
      </c>
    </row>
    <row r="165">
      <c r="A165" s="2">
        <v>45090.0</v>
      </c>
      <c r="B165" s="3">
        <v>44371.0</v>
      </c>
      <c r="C165" s="5">
        <v>1255.0</v>
      </c>
      <c r="D165" s="4">
        <v>2385.82</v>
      </c>
      <c r="E165" s="3">
        <v>30.0</v>
      </c>
      <c r="F165" s="4">
        <v>4818.87</v>
      </c>
    </row>
    <row r="166">
      <c r="A166" s="2">
        <v>45091.0</v>
      </c>
      <c r="B166" s="3">
        <v>61532.0</v>
      </c>
      <c r="C166" s="5">
        <v>1267.0</v>
      </c>
      <c r="D166" s="4">
        <v>1445.01</v>
      </c>
      <c r="E166" s="3">
        <v>21.0</v>
      </c>
      <c r="F166" s="4">
        <v>3684.03</v>
      </c>
    </row>
    <row r="167">
      <c r="A167" s="2">
        <v>45092.0</v>
      </c>
      <c r="B167" s="3">
        <v>78483.0</v>
      </c>
      <c r="C167" s="5">
        <v>2079.0</v>
      </c>
      <c r="D167" s="4">
        <v>2620.54</v>
      </c>
      <c r="E167" s="3">
        <v>51.0</v>
      </c>
      <c r="F167" s="4">
        <v>9144.05</v>
      </c>
    </row>
    <row r="168">
      <c r="A168" s="2">
        <v>45093.0</v>
      </c>
      <c r="B168" s="3">
        <v>93791.0</v>
      </c>
      <c r="C168" s="5">
        <v>2729.0</v>
      </c>
      <c r="D168" s="4">
        <v>5131.11</v>
      </c>
      <c r="E168" s="3">
        <v>44.0</v>
      </c>
      <c r="F168" s="4">
        <v>6937.93</v>
      </c>
    </row>
    <row r="169">
      <c r="A169" s="2">
        <v>45094.0</v>
      </c>
      <c r="B169" s="3">
        <v>28076.0</v>
      </c>
      <c r="C169" s="3">
        <v>505.0</v>
      </c>
      <c r="D169" s="4">
        <v>651.92</v>
      </c>
      <c r="E169" s="3">
        <v>6.0</v>
      </c>
      <c r="F169" s="4">
        <v>1199.54</v>
      </c>
    </row>
    <row r="170">
      <c r="A170" s="2">
        <v>45095.0</v>
      </c>
      <c r="B170" s="3">
        <v>32284.0</v>
      </c>
      <c r="C170" s="3">
        <v>345.0</v>
      </c>
      <c r="D170" s="4">
        <v>677.06</v>
      </c>
      <c r="E170" s="3">
        <v>6.0</v>
      </c>
      <c r="F170" s="4">
        <v>879.21</v>
      </c>
    </row>
    <row r="171">
      <c r="A171" s="2">
        <v>45096.0</v>
      </c>
      <c r="B171" s="3">
        <v>46812.0</v>
      </c>
      <c r="C171" s="5">
        <v>1156.0</v>
      </c>
      <c r="D171" s="4">
        <v>1410.63</v>
      </c>
      <c r="E171" s="3">
        <v>16.0</v>
      </c>
      <c r="F171" s="4">
        <v>2934.58</v>
      </c>
    </row>
    <row r="172">
      <c r="A172" s="2">
        <v>45097.0</v>
      </c>
      <c r="B172" s="3">
        <v>57004.0</v>
      </c>
      <c r="C172" s="5">
        <v>1339.0</v>
      </c>
      <c r="D172" s="4">
        <v>2237.12</v>
      </c>
      <c r="E172" s="3">
        <v>32.0</v>
      </c>
      <c r="F172" s="4">
        <v>5617.45</v>
      </c>
    </row>
    <row r="173">
      <c r="A173" s="2">
        <v>45098.0</v>
      </c>
      <c r="B173" s="3">
        <v>73312.0</v>
      </c>
      <c r="C173" s="5">
        <v>2045.0</v>
      </c>
      <c r="D173" s="4">
        <v>3518.09</v>
      </c>
      <c r="E173" s="3">
        <v>40.0</v>
      </c>
      <c r="F173" s="4">
        <v>6648.59</v>
      </c>
    </row>
    <row r="174">
      <c r="A174" s="2">
        <v>45099.0</v>
      </c>
      <c r="B174" s="3">
        <v>76451.0</v>
      </c>
      <c r="C174" s="5">
        <v>2262.0</v>
      </c>
      <c r="D174" s="4">
        <v>4005.42</v>
      </c>
      <c r="E174" s="3">
        <v>38.0</v>
      </c>
      <c r="F174" s="4">
        <v>6036.64</v>
      </c>
    </row>
    <row r="175">
      <c r="A175" s="2">
        <v>45100.0</v>
      </c>
      <c r="B175" s="3">
        <v>67806.0</v>
      </c>
      <c r="C175" s="3">
        <v>949.0</v>
      </c>
      <c r="D175" s="4">
        <v>1870.08</v>
      </c>
      <c r="E175" s="3">
        <v>23.0</v>
      </c>
      <c r="F175" s="4">
        <v>3758.31</v>
      </c>
    </row>
    <row r="176">
      <c r="A176" s="2">
        <v>45101.0</v>
      </c>
      <c r="B176" s="3">
        <v>70975.0</v>
      </c>
      <c r="C176" s="3">
        <v>802.0</v>
      </c>
      <c r="D176" s="4">
        <v>1531.85</v>
      </c>
      <c r="E176" s="3">
        <v>16.0</v>
      </c>
      <c r="F176" s="4">
        <v>2208.52</v>
      </c>
    </row>
    <row r="177">
      <c r="A177" s="2">
        <v>45102.0</v>
      </c>
      <c r="B177" s="3">
        <v>29461.0</v>
      </c>
      <c r="C177" s="3">
        <v>450.0</v>
      </c>
      <c r="D177" s="4">
        <v>649.08</v>
      </c>
      <c r="E177" s="3">
        <v>8.0</v>
      </c>
      <c r="F177" s="4">
        <v>1515.93</v>
      </c>
    </row>
    <row r="178">
      <c r="A178" s="2">
        <v>45103.0</v>
      </c>
      <c r="B178" s="3">
        <v>74614.0</v>
      </c>
      <c r="C178" s="5">
        <v>1283.0</v>
      </c>
      <c r="D178" s="4">
        <v>2168.87</v>
      </c>
      <c r="E178" s="3">
        <v>29.0</v>
      </c>
      <c r="F178" s="4">
        <v>4257.68</v>
      </c>
    </row>
    <row r="179">
      <c r="A179" s="2">
        <v>45104.0</v>
      </c>
      <c r="B179" s="3">
        <v>28898.0</v>
      </c>
      <c r="C179" s="3">
        <v>780.0</v>
      </c>
      <c r="D179" s="4">
        <v>1303.01</v>
      </c>
      <c r="E179" s="3">
        <v>15.0</v>
      </c>
      <c r="F179" s="4">
        <v>2316.86</v>
      </c>
    </row>
    <row r="180">
      <c r="A180" s="2">
        <v>45105.0</v>
      </c>
      <c r="B180" s="3">
        <v>25283.0</v>
      </c>
      <c r="C180" s="3">
        <v>485.0</v>
      </c>
      <c r="D180" s="4">
        <v>868.92</v>
      </c>
      <c r="E180" s="3">
        <v>9.0</v>
      </c>
      <c r="F180" s="4">
        <v>1495.48</v>
      </c>
    </row>
    <row r="181">
      <c r="A181" s="2">
        <v>45106.0</v>
      </c>
      <c r="B181" s="3">
        <v>28922.0</v>
      </c>
      <c r="C181" s="3">
        <v>407.0</v>
      </c>
      <c r="D181" s="4">
        <v>485.28</v>
      </c>
      <c r="E181" s="3">
        <v>9.0</v>
      </c>
      <c r="F181" s="4">
        <v>1370.21</v>
      </c>
    </row>
    <row r="182">
      <c r="A182" s="2">
        <v>45107.0</v>
      </c>
      <c r="B182" s="3">
        <v>40708.0</v>
      </c>
      <c r="C182" s="3">
        <v>907.0</v>
      </c>
      <c r="D182" s="4">
        <v>1752.03</v>
      </c>
      <c r="E182" s="3">
        <v>16.0</v>
      </c>
      <c r="F182" s="4">
        <v>2474.45</v>
      </c>
    </row>
    <row r="183">
      <c r="A183" s="2">
        <v>45108.0</v>
      </c>
      <c r="B183" s="3">
        <v>82221.0</v>
      </c>
      <c r="C183" s="5">
        <v>2376.0</v>
      </c>
      <c r="D183" s="4">
        <v>3445.47</v>
      </c>
      <c r="E183" s="3">
        <v>45.0</v>
      </c>
      <c r="F183" s="4">
        <v>8621.76</v>
      </c>
    </row>
    <row r="184">
      <c r="A184" s="2">
        <v>45109.0</v>
      </c>
      <c r="B184" s="3">
        <v>25683.0</v>
      </c>
      <c r="C184" s="3">
        <v>696.0</v>
      </c>
      <c r="D184" s="4">
        <v>723.84</v>
      </c>
      <c r="E184" s="3">
        <v>14.0</v>
      </c>
      <c r="F184" s="4">
        <v>2525.96</v>
      </c>
    </row>
    <row r="185">
      <c r="A185" s="2">
        <v>45110.0</v>
      </c>
      <c r="B185" s="3">
        <v>63264.0</v>
      </c>
      <c r="C185" s="5">
        <v>1252.0</v>
      </c>
      <c r="D185" s="4">
        <v>2329.88</v>
      </c>
      <c r="E185" s="3">
        <v>16.0</v>
      </c>
      <c r="F185" s="4">
        <v>2395.77</v>
      </c>
    </row>
    <row r="186">
      <c r="A186" s="2">
        <v>45111.0</v>
      </c>
      <c r="B186" s="3">
        <v>75831.0</v>
      </c>
      <c r="C186" s="5">
        <v>1304.0</v>
      </c>
      <c r="D186" s="4">
        <v>1304.29</v>
      </c>
      <c r="E186" s="3">
        <v>18.0</v>
      </c>
      <c r="F186" s="4">
        <v>3389.34</v>
      </c>
    </row>
    <row r="187">
      <c r="A187" s="2">
        <v>45112.0</v>
      </c>
      <c r="B187" s="3">
        <v>86875.0</v>
      </c>
      <c r="C187" s="5">
        <v>2371.0</v>
      </c>
      <c r="D187" s="4">
        <v>3486.38</v>
      </c>
      <c r="E187" s="3">
        <v>30.0</v>
      </c>
      <c r="F187" s="4">
        <v>4378.14</v>
      </c>
    </row>
    <row r="188">
      <c r="A188" s="2">
        <v>45113.0</v>
      </c>
      <c r="B188" s="3">
        <v>24285.0</v>
      </c>
      <c r="C188" s="3">
        <v>536.0</v>
      </c>
      <c r="D188" s="4">
        <v>788.94</v>
      </c>
      <c r="E188" s="3">
        <v>7.0</v>
      </c>
      <c r="F188" s="4">
        <v>873.32</v>
      </c>
    </row>
    <row r="189">
      <c r="A189" s="2">
        <v>45114.0</v>
      </c>
      <c r="B189" s="3">
        <v>42691.0</v>
      </c>
      <c r="C189" s="5">
        <v>1139.0</v>
      </c>
      <c r="D189" s="4">
        <v>1686.97</v>
      </c>
      <c r="E189" s="3">
        <v>26.0</v>
      </c>
      <c r="F189" s="4">
        <v>4366.19</v>
      </c>
    </row>
    <row r="190">
      <c r="A190" s="2">
        <v>45115.0</v>
      </c>
      <c r="B190" s="3">
        <v>73001.0</v>
      </c>
      <c r="C190" s="5">
        <v>1423.0</v>
      </c>
      <c r="D190" s="4">
        <v>2676.21</v>
      </c>
      <c r="E190" s="3">
        <v>31.0</v>
      </c>
      <c r="F190" s="4">
        <v>3349.83</v>
      </c>
    </row>
    <row r="191">
      <c r="A191" s="2">
        <v>45116.0</v>
      </c>
      <c r="B191" s="3">
        <v>50947.0</v>
      </c>
      <c r="C191" s="3">
        <v>881.0</v>
      </c>
      <c r="D191" s="4">
        <v>1507.16</v>
      </c>
      <c r="E191" s="3">
        <v>18.0</v>
      </c>
      <c r="F191" s="4">
        <v>1851.96</v>
      </c>
    </row>
    <row r="192">
      <c r="A192" s="2">
        <v>45117.0</v>
      </c>
      <c r="B192" s="3">
        <v>46456.0</v>
      </c>
      <c r="C192" s="5">
        <v>1231.0</v>
      </c>
      <c r="D192" s="4">
        <v>1797.38</v>
      </c>
      <c r="E192" s="3">
        <v>17.0</v>
      </c>
      <c r="F192" s="4">
        <v>2127.31</v>
      </c>
    </row>
    <row r="193">
      <c r="A193" s="2">
        <v>45118.0</v>
      </c>
      <c r="B193" s="3">
        <v>84562.0</v>
      </c>
      <c r="C193" s="5">
        <v>1090.0</v>
      </c>
      <c r="D193" s="4">
        <v>1418.1</v>
      </c>
      <c r="E193" s="3">
        <v>17.0</v>
      </c>
      <c r="F193" s="4">
        <v>3038.34</v>
      </c>
    </row>
    <row r="194">
      <c r="A194" s="2">
        <v>45119.0</v>
      </c>
      <c r="B194" s="3">
        <v>96354.0</v>
      </c>
      <c r="C194" s="5">
        <v>2765.0</v>
      </c>
      <c r="D194" s="4">
        <v>3373.73</v>
      </c>
      <c r="E194" s="3">
        <v>63.0</v>
      </c>
      <c r="F194" s="4">
        <v>9688.99</v>
      </c>
    </row>
    <row r="195">
      <c r="A195" s="2">
        <v>45120.0</v>
      </c>
      <c r="B195" s="3">
        <v>37440.0</v>
      </c>
      <c r="C195" s="5">
        <v>1093.0</v>
      </c>
      <c r="D195" s="4">
        <v>1727.33</v>
      </c>
      <c r="E195" s="3">
        <v>22.0</v>
      </c>
      <c r="F195" s="4">
        <v>4371.24</v>
      </c>
    </row>
    <row r="196">
      <c r="A196" s="2">
        <v>45121.0</v>
      </c>
      <c r="B196" s="3">
        <v>54837.0</v>
      </c>
      <c r="C196" s="3">
        <v>701.0</v>
      </c>
      <c r="D196" s="4">
        <v>1207.29</v>
      </c>
      <c r="E196" s="3">
        <v>13.0</v>
      </c>
      <c r="F196" s="4">
        <v>2614.28</v>
      </c>
    </row>
    <row r="197">
      <c r="A197" s="2">
        <v>45122.0</v>
      </c>
      <c r="B197" s="3">
        <v>62057.0</v>
      </c>
      <c r="C197" s="5">
        <v>1129.0</v>
      </c>
      <c r="D197" s="4">
        <v>2191.1</v>
      </c>
      <c r="E197" s="3">
        <v>21.0</v>
      </c>
      <c r="F197" s="4">
        <v>3653.84</v>
      </c>
    </row>
    <row r="198">
      <c r="A198" s="2">
        <v>45123.0</v>
      </c>
      <c r="B198" s="3">
        <v>86230.0</v>
      </c>
      <c r="C198" s="5">
        <v>2086.0</v>
      </c>
      <c r="D198" s="4">
        <v>3464.03</v>
      </c>
      <c r="E198" s="3">
        <v>49.0</v>
      </c>
      <c r="F198" s="4">
        <v>6943.92</v>
      </c>
    </row>
    <row r="199">
      <c r="A199" s="2">
        <v>45124.0</v>
      </c>
      <c r="B199" s="3">
        <v>46938.0</v>
      </c>
      <c r="C199" s="5">
        <v>1276.0</v>
      </c>
      <c r="D199" s="4">
        <v>1787.39</v>
      </c>
      <c r="E199" s="3">
        <v>20.0</v>
      </c>
      <c r="F199" s="4">
        <v>3868.57</v>
      </c>
    </row>
    <row r="200">
      <c r="A200" s="2">
        <v>45125.0</v>
      </c>
      <c r="B200" s="3">
        <v>73367.0</v>
      </c>
      <c r="C200" s="5">
        <v>1621.0</v>
      </c>
      <c r="D200" s="4">
        <v>2967.18</v>
      </c>
      <c r="E200" s="3">
        <v>21.0</v>
      </c>
      <c r="F200" s="4">
        <v>2442.66</v>
      </c>
    </row>
    <row r="201">
      <c r="A201" s="2">
        <v>45126.0</v>
      </c>
      <c r="B201" s="3">
        <v>28556.0</v>
      </c>
      <c r="C201" s="3">
        <v>462.0</v>
      </c>
      <c r="D201" s="4">
        <v>518.12</v>
      </c>
      <c r="E201" s="3">
        <v>10.0</v>
      </c>
      <c r="F201" s="4">
        <v>1378.2</v>
      </c>
    </row>
    <row r="202">
      <c r="A202" s="2">
        <v>45127.0</v>
      </c>
      <c r="B202" s="3">
        <v>31091.0</v>
      </c>
      <c r="C202" s="3">
        <v>914.0</v>
      </c>
      <c r="D202" s="4">
        <v>1343.69</v>
      </c>
      <c r="E202" s="3">
        <v>13.0</v>
      </c>
      <c r="F202" s="4">
        <v>2143.69</v>
      </c>
    </row>
    <row r="203">
      <c r="A203" s="2">
        <v>45128.0</v>
      </c>
      <c r="B203" s="3">
        <v>22502.0</v>
      </c>
      <c r="C203" s="3">
        <v>265.0</v>
      </c>
      <c r="D203" s="4">
        <v>331.9</v>
      </c>
      <c r="E203" s="3">
        <v>6.0</v>
      </c>
      <c r="F203" s="4">
        <v>852.2</v>
      </c>
    </row>
    <row r="204">
      <c r="A204" s="2">
        <v>45129.0</v>
      </c>
      <c r="B204" s="3">
        <v>23195.0</v>
      </c>
      <c r="C204" s="3">
        <v>361.0</v>
      </c>
      <c r="D204" s="4">
        <v>676.64</v>
      </c>
      <c r="E204" s="3">
        <v>5.0</v>
      </c>
      <c r="F204" s="4">
        <v>587.67</v>
      </c>
    </row>
    <row r="205">
      <c r="A205" s="2">
        <v>45130.0</v>
      </c>
      <c r="B205" s="3">
        <v>16705.0</v>
      </c>
      <c r="C205" s="3">
        <v>377.0</v>
      </c>
      <c r="D205" s="4">
        <v>683.33</v>
      </c>
      <c r="E205" s="3">
        <v>7.0</v>
      </c>
      <c r="F205" s="4">
        <v>1539.88</v>
      </c>
    </row>
    <row r="206">
      <c r="A206" s="2">
        <v>45131.0</v>
      </c>
      <c r="B206" s="3">
        <v>88274.0</v>
      </c>
      <c r="C206" s="5">
        <v>1933.0</v>
      </c>
      <c r="D206" s="4">
        <v>2049.19</v>
      </c>
      <c r="E206" s="3">
        <v>32.0</v>
      </c>
      <c r="F206" s="4">
        <v>3883.03</v>
      </c>
    </row>
    <row r="207">
      <c r="A207" s="2">
        <v>45132.0</v>
      </c>
      <c r="B207" s="3">
        <v>39115.0</v>
      </c>
      <c r="C207" s="3">
        <v>441.0</v>
      </c>
      <c r="D207" s="4">
        <v>495.03</v>
      </c>
      <c r="E207" s="3">
        <v>8.0</v>
      </c>
      <c r="F207" s="4">
        <v>1511.64</v>
      </c>
    </row>
    <row r="208">
      <c r="A208" s="2">
        <v>45133.0</v>
      </c>
      <c r="B208" s="3">
        <v>18005.0</v>
      </c>
      <c r="C208" s="3">
        <v>358.0</v>
      </c>
      <c r="D208" s="4">
        <v>490.87</v>
      </c>
      <c r="E208" s="3">
        <v>8.0</v>
      </c>
      <c r="F208" s="4">
        <v>1083.0</v>
      </c>
    </row>
    <row r="209">
      <c r="A209" s="2">
        <v>45134.0</v>
      </c>
      <c r="B209" s="3">
        <v>53771.0</v>
      </c>
      <c r="C209" s="5">
        <v>1559.0</v>
      </c>
      <c r="D209" s="4">
        <v>2744.47</v>
      </c>
      <c r="E209" s="3">
        <v>19.0</v>
      </c>
      <c r="F209" s="4">
        <v>2750.71</v>
      </c>
    </row>
    <row r="210">
      <c r="A210" s="2">
        <v>45135.0</v>
      </c>
      <c r="B210" s="3">
        <v>88214.0</v>
      </c>
      <c r="C210" s="5">
        <v>1146.0</v>
      </c>
      <c r="D210" s="4">
        <v>2006.86</v>
      </c>
      <c r="E210" s="3">
        <v>20.0</v>
      </c>
      <c r="F210" s="4">
        <v>2340.12</v>
      </c>
    </row>
    <row r="211">
      <c r="A211" s="2">
        <v>45136.0</v>
      </c>
      <c r="B211" s="3">
        <v>40749.0</v>
      </c>
      <c r="C211" s="3">
        <v>969.0</v>
      </c>
      <c r="D211" s="4">
        <v>1280.17</v>
      </c>
      <c r="E211" s="3">
        <v>16.0</v>
      </c>
      <c r="F211" s="4">
        <v>2801.92</v>
      </c>
    </row>
    <row r="212">
      <c r="A212" s="2">
        <v>45137.0</v>
      </c>
      <c r="B212" s="3">
        <v>48390.0</v>
      </c>
      <c r="C212" s="3">
        <v>846.0</v>
      </c>
      <c r="D212" s="4">
        <v>939.97</v>
      </c>
      <c r="E212" s="3">
        <v>14.0</v>
      </c>
      <c r="F212" s="4">
        <v>2313.36</v>
      </c>
    </row>
    <row r="213">
      <c r="A213" s="2">
        <v>45138.0</v>
      </c>
      <c r="B213" s="3">
        <v>36444.0</v>
      </c>
      <c r="C213" s="3">
        <v>863.0</v>
      </c>
      <c r="D213" s="4">
        <v>1597.88</v>
      </c>
      <c r="E213" s="3">
        <v>16.0</v>
      </c>
      <c r="F213" s="4">
        <v>3066.39</v>
      </c>
    </row>
    <row r="214">
      <c r="A214" s="2">
        <v>45139.0</v>
      </c>
      <c r="B214" s="3">
        <v>50980.0</v>
      </c>
      <c r="C214" s="3">
        <v>790.0</v>
      </c>
      <c r="D214" s="4">
        <v>1114.16</v>
      </c>
      <c r="E214" s="3">
        <v>13.0</v>
      </c>
      <c r="F214" s="4">
        <v>2216.96</v>
      </c>
    </row>
    <row r="215">
      <c r="A215" s="2">
        <v>45140.0</v>
      </c>
      <c r="B215" s="3">
        <v>53099.0</v>
      </c>
      <c r="C215" s="3">
        <v>854.0</v>
      </c>
      <c r="D215" s="4">
        <v>940.38</v>
      </c>
      <c r="E215" s="3">
        <v>19.0</v>
      </c>
      <c r="F215" s="4">
        <v>2212.21</v>
      </c>
    </row>
    <row r="216">
      <c r="A216" s="2">
        <v>45141.0</v>
      </c>
      <c r="B216" s="3">
        <v>73679.0</v>
      </c>
      <c r="C216" s="5">
        <v>1981.0</v>
      </c>
      <c r="D216" s="4">
        <v>3091.86</v>
      </c>
      <c r="E216" s="3">
        <v>43.0</v>
      </c>
      <c r="F216" s="4">
        <v>5983.95</v>
      </c>
    </row>
    <row r="217">
      <c r="A217" s="2">
        <v>45142.0</v>
      </c>
      <c r="B217" s="3">
        <v>38948.0</v>
      </c>
      <c r="C217" s="3">
        <v>802.0</v>
      </c>
      <c r="D217" s="4">
        <v>1227.56</v>
      </c>
      <c r="E217" s="3">
        <v>14.0</v>
      </c>
      <c r="F217" s="4">
        <v>1929.6</v>
      </c>
    </row>
    <row r="218">
      <c r="A218" s="2">
        <v>45143.0</v>
      </c>
      <c r="B218" s="3">
        <v>39670.0</v>
      </c>
      <c r="C218" s="3">
        <v>844.0</v>
      </c>
      <c r="D218" s="4">
        <v>1351.95</v>
      </c>
      <c r="E218" s="3">
        <v>16.0</v>
      </c>
      <c r="F218" s="4">
        <v>2011.71</v>
      </c>
    </row>
    <row r="219">
      <c r="A219" s="2">
        <v>45144.0</v>
      </c>
      <c r="B219" s="3">
        <v>48916.0</v>
      </c>
      <c r="C219" s="3">
        <v>616.0</v>
      </c>
      <c r="D219" s="4">
        <v>708.79</v>
      </c>
      <c r="E219" s="3">
        <v>13.0</v>
      </c>
      <c r="F219" s="4">
        <v>1930.2</v>
      </c>
    </row>
    <row r="220">
      <c r="A220" s="2">
        <v>45145.0</v>
      </c>
      <c r="B220" s="3">
        <v>64865.0</v>
      </c>
      <c r="C220" s="5">
        <v>1920.0</v>
      </c>
      <c r="D220" s="4">
        <v>3763.2</v>
      </c>
      <c r="E220" s="3">
        <v>46.0</v>
      </c>
      <c r="F220" s="4">
        <v>7495.7</v>
      </c>
    </row>
    <row r="221">
      <c r="A221" s="2">
        <v>45146.0</v>
      </c>
      <c r="B221" s="3">
        <v>98040.0</v>
      </c>
      <c r="C221" s="5">
        <v>1647.0</v>
      </c>
      <c r="D221" s="4">
        <v>1943.54</v>
      </c>
      <c r="E221" s="3">
        <v>35.0</v>
      </c>
      <c r="F221" s="4">
        <v>4350.25</v>
      </c>
    </row>
    <row r="222">
      <c r="A222" s="2">
        <v>45147.0</v>
      </c>
      <c r="B222" s="3">
        <v>32581.0</v>
      </c>
      <c r="C222" s="3">
        <v>329.0</v>
      </c>
      <c r="D222" s="4">
        <v>460.69</v>
      </c>
      <c r="E222" s="3">
        <v>8.0</v>
      </c>
      <c r="F222" s="4">
        <v>1056.14</v>
      </c>
    </row>
    <row r="223">
      <c r="A223" s="2">
        <v>45148.0</v>
      </c>
      <c r="B223" s="3">
        <v>55945.0</v>
      </c>
      <c r="C223" s="5">
        <v>1169.0</v>
      </c>
      <c r="D223" s="4">
        <v>2256.65</v>
      </c>
      <c r="E223" s="3">
        <v>15.0</v>
      </c>
      <c r="F223" s="4">
        <v>2404.8</v>
      </c>
    </row>
    <row r="224">
      <c r="A224" s="2">
        <v>45149.0</v>
      </c>
      <c r="B224" s="3">
        <v>84152.0</v>
      </c>
      <c r="C224" s="5">
        <v>1253.0</v>
      </c>
      <c r="D224" s="4">
        <v>1943.49</v>
      </c>
      <c r="E224" s="3">
        <v>28.0</v>
      </c>
      <c r="F224" s="4">
        <v>3075.1</v>
      </c>
    </row>
    <row r="225">
      <c r="A225" s="2">
        <v>45150.0</v>
      </c>
      <c r="B225" s="3">
        <v>17289.0</v>
      </c>
      <c r="C225" s="3">
        <v>288.0</v>
      </c>
      <c r="D225" s="4">
        <v>537.03</v>
      </c>
      <c r="E225" s="3">
        <v>6.0</v>
      </c>
      <c r="F225" s="4">
        <v>1203.64</v>
      </c>
    </row>
    <row r="226">
      <c r="A226" s="2">
        <v>45151.0</v>
      </c>
      <c r="B226" s="3">
        <v>54915.0</v>
      </c>
      <c r="C226" s="3">
        <v>713.0</v>
      </c>
      <c r="D226" s="4">
        <v>1063.7</v>
      </c>
      <c r="E226" s="3">
        <v>9.0</v>
      </c>
      <c r="F226" s="4">
        <v>1079.41</v>
      </c>
    </row>
    <row r="227">
      <c r="A227" s="2">
        <v>45152.0</v>
      </c>
      <c r="B227" s="3">
        <v>94500.0</v>
      </c>
      <c r="C227" s="5">
        <v>2088.0</v>
      </c>
      <c r="D227" s="4">
        <v>2589.67</v>
      </c>
      <c r="E227" s="3">
        <v>39.0</v>
      </c>
      <c r="F227" s="4">
        <v>7977.88</v>
      </c>
    </row>
    <row r="228">
      <c r="A228" s="2">
        <v>45153.0</v>
      </c>
      <c r="B228" s="3">
        <v>75026.0</v>
      </c>
      <c r="C228" s="5">
        <v>2130.0</v>
      </c>
      <c r="D228" s="4">
        <v>3515.71</v>
      </c>
      <c r="E228" s="3">
        <v>26.0</v>
      </c>
      <c r="F228" s="4">
        <v>3515.72</v>
      </c>
    </row>
    <row r="229">
      <c r="A229" s="2">
        <v>45154.0</v>
      </c>
      <c r="B229" s="3">
        <v>30890.0</v>
      </c>
      <c r="C229" s="3">
        <v>759.0</v>
      </c>
      <c r="D229" s="4">
        <v>835.88</v>
      </c>
      <c r="E229" s="3">
        <v>9.0</v>
      </c>
      <c r="F229" s="4">
        <v>1507.63</v>
      </c>
    </row>
    <row r="230">
      <c r="A230" s="2">
        <v>45155.0</v>
      </c>
      <c r="B230" s="3">
        <v>91216.0</v>
      </c>
      <c r="C230" s="5">
        <v>1213.0</v>
      </c>
      <c r="D230" s="4">
        <v>2220.1</v>
      </c>
      <c r="E230" s="3">
        <v>25.0</v>
      </c>
      <c r="F230" s="4">
        <v>3514.32</v>
      </c>
    </row>
    <row r="231">
      <c r="A231" s="2">
        <v>45156.0</v>
      </c>
      <c r="B231" s="3">
        <v>72902.0</v>
      </c>
      <c r="C231" s="5">
        <v>1399.0</v>
      </c>
      <c r="D231" s="4">
        <v>2127.57</v>
      </c>
      <c r="E231" s="3">
        <v>34.0</v>
      </c>
      <c r="F231" s="4">
        <v>4938.21</v>
      </c>
    </row>
    <row r="232">
      <c r="A232" s="2">
        <v>45157.0</v>
      </c>
      <c r="B232" s="3">
        <v>11758.0</v>
      </c>
      <c r="C232" s="3">
        <v>262.0</v>
      </c>
      <c r="D232" s="4">
        <v>409.03</v>
      </c>
      <c r="E232" s="3">
        <v>5.0</v>
      </c>
      <c r="F232" s="4">
        <v>726.04</v>
      </c>
    </row>
    <row r="233">
      <c r="A233" s="2">
        <v>45158.0</v>
      </c>
      <c r="B233" s="3">
        <v>14164.0</v>
      </c>
      <c r="C233" s="3">
        <v>288.0</v>
      </c>
      <c r="D233" s="4">
        <v>470.98</v>
      </c>
      <c r="E233" s="3">
        <v>4.0</v>
      </c>
      <c r="F233" s="4">
        <v>631.17</v>
      </c>
    </row>
    <row r="234">
      <c r="A234" s="2">
        <v>45159.0</v>
      </c>
      <c r="B234" s="3">
        <v>11775.0</v>
      </c>
      <c r="C234" s="3">
        <v>193.0</v>
      </c>
      <c r="D234" s="4">
        <v>220.14</v>
      </c>
      <c r="E234" s="3">
        <v>3.0</v>
      </c>
      <c r="F234" s="4">
        <v>702.92</v>
      </c>
    </row>
    <row r="235">
      <c r="A235" s="2">
        <v>45160.0</v>
      </c>
      <c r="B235" s="3">
        <v>54177.0</v>
      </c>
      <c r="C235" s="5">
        <v>1403.0</v>
      </c>
      <c r="D235" s="4">
        <v>2371.38</v>
      </c>
      <c r="E235" s="3">
        <v>18.0</v>
      </c>
      <c r="F235" s="4">
        <v>3315.02</v>
      </c>
    </row>
    <row r="236">
      <c r="A236" s="2">
        <v>45161.0</v>
      </c>
      <c r="B236" s="3">
        <v>88744.0</v>
      </c>
      <c r="C236" s="5">
        <v>2307.0</v>
      </c>
      <c r="D236" s="4">
        <v>2630.37</v>
      </c>
      <c r="E236" s="3">
        <v>34.0</v>
      </c>
      <c r="F236" s="4">
        <v>6119.54</v>
      </c>
    </row>
    <row r="237">
      <c r="A237" s="2">
        <v>45162.0</v>
      </c>
      <c r="B237" s="3">
        <v>23927.0</v>
      </c>
      <c r="C237" s="3">
        <v>703.0</v>
      </c>
      <c r="D237" s="4">
        <v>914.48</v>
      </c>
      <c r="E237" s="3">
        <v>15.0</v>
      </c>
      <c r="F237" s="4">
        <v>2331.39</v>
      </c>
    </row>
    <row r="238">
      <c r="A238" s="2">
        <v>45163.0</v>
      </c>
      <c r="B238" s="3">
        <v>89752.0</v>
      </c>
      <c r="C238" s="5">
        <v>1409.0</v>
      </c>
      <c r="D238" s="4">
        <v>2775.93</v>
      </c>
      <c r="E238" s="3">
        <v>24.0</v>
      </c>
      <c r="F238" s="4">
        <v>4509.85</v>
      </c>
    </row>
    <row r="239">
      <c r="A239" s="2">
        <v>45164.0</v>
      </c>
      <c r="B239" s="3">
        <v>76685.0</v>
      </c>
      <c r="C239" s="5">
        <v>1257.0</v>
      </c>
      <c r="D239" s="4">
        <v>2213.43</v>
      </c>
      <c r="E239" s="3">
        <v>25.0</v>
      </c>
      <c r="F239" s="4">
        <v>3823.21</v>
      </c>
    </row>
    <row r="240">
      <c r="A240" s="2">
        <v>45165.0</v>
      </c>
      <c r="B240" s="3">
        <v>58195.0</v>
      </c>
      <c r="C240" s="5">
        <v>1443.0</v>
      </c>
      <c r="D240" s="4">
        <v>2496.79</v>
      </c>
      <c r="E240" s="3">
        <v>25.0</v>
      </c>
      <c r="F240" s="4">
        <v>3081.31</v>
      </c>
    </row>
    <row r="241">
      <c r="A241" s="2">
        <v>45166.0</v>
      </c>
      <c r="B241" s="3">
        <v>26918.0</v>
      </c>
      <c r="C241" s="3">
        <v>390.0</v>
      </c>
      <c r="D241" s="4">
        <v>667.43</v>
      </c>
      <c r="E241" s="3">
        <v>4.0</v>
      </c>
      <c r="F241" s="4">
        <v>673.29</v>
      </c>
    </row>
    <row r="242">
      <c r="A242" s="2">
        <v>45167.0</v>
      </c>
      <c r="B242" s="3">
        <v>50916.0</v>
      </c>
      <c r="C242" s="3">
        <v>621.0</v>
      </c>
      <c r="D242" s="4">
        <v>913.12</v>
      </c>
      <c r="E242" s="3">
        <v>13.0</v>
      </c>
      <c r="F242" s="4">
        <v>2285.43</v>
      </c>
    </row>
    <row r="243">
      <c r="A243" s="2">
        <v>45168.0</v>
      </c>
      <c r="B243" s="3">
        <v>14691.0</v>
      </c>
      <c r="C243" s="3">
        <v>289.0</v>
      </c>
      <c r="D243" s="4">
        <v>578.82</v>
      </c>
      <c r="E243" s="3">
        <v>5.0</v>
      </c>
      <c r="F243" s="4">
        <v>589.19</v>
      </c>
    </row>
    <row r="244">
      <c r="A244" s="2">
        <v>45169.0</v>
      </c>
      <c r="B244" s="3">
        <v>69387.0</v>
      </c>
      <c r="C244" s="5">
        <v>1325.0</v>
      </c>
      <c r="D244" s="4">
        <v>1418.06</v>
      </c>
      <c r="E244" s="3">
        <v>21.0</v>
      </c>
      <c r="F244" s="4">
        <v>3039.56</v>
      </c>
    </row>
    <row r="245">
      <c r="A245" s="2">
        <v>45170.0</v>
      </c>
      <c r="B245" s="3">
        <v>88615.0</v>
      </c>
      <c r="C245" s="5">
        <v>1302.0</v>
      </c>
      <c r="D245" s="4">
        <v>2422.91</v>
      </c>
      <c r="E245" s="3">
        <v>30.0</v>
      </c>
      <c r="F245" s="4">
        <v>3170.11</v>
      </c>
    </row>
    <row r="246">
      <c r="A246" s="2">
        <v>45171.0</v>
      </c>
      <c r="B246" s="3">
        <v>54624.0</v>
      </c>
      <c r="C246" s="5">
        <v>1431.0</v>
      </c>
      <c r="D246" s="4">
        <v>1431.14</v>
      </c>
      <c r="E246" s="3">
        <v>24.0</v>
      </c>
      <c r="F246" s="4">
        <v>2740.94</v>
      </c>
    </row>
    <row r="247">
      <c r="A247" s="2">
        <v>45172.0</v>
      </c>
      <c r="B247" s="3">
        <v>22282.0</v>
      </c>
      <c r="C247" s="3">
        <v>586.0</v>
      </c>
      <c r="D247" s="4">
        <v>679.77</v>
      </c>
      <c r="E247" s="3">
        <v>7.0</v>
      </c>
      <c r="F247" s="4">
        <v>1305.06</v>
      </c>
    </row>
    <row r="248">
      <c r="A248" s="2">
        <v>45173.0</v>
      </c>
      <c r="B248" s="3">
        <v>93812.0</v>
      </c>
      <c r="C248" s="5">
        <v>2514.0</v>
      </c>
      <c r="D248" s="4">
        <v>2991.85</v>
      </c>
      <c r="E248" s="3">
        <v>51.0</v>
      </c>
      <c r="F248" s="4">
        <v>8349.53</v>
      </c>
    </row>
    <row r="249">
      <c r="A249" s="2">
        <v>45174.0</v>
      </c>
      <c r="B249" s="3">
        <v>97918.0</v>
      </c>
      <c r="C249" s="5">
        <v>1821.0</v>
      </c>
      <c r="D249" s="4">
        <v>3023.31</v>
      </c>
      <c r="E249" s="3">
        <v>32.0</v>
      </c>
      <c r="F249" s="4">
        <v>6593.01</v>
      </c>
    </row>
    <row r="250">
      <c r="A250" s="2">
        <v>45175.0</v>
      </c>
      <c r="B250" s="3">
        <v>32836.0</v>
      </c>
      <c r="C250" s="3">
        <v>820.0</v>
      </c>
      <c r="D250" s="4">
        <v>1576.12</v>
      </c>
      <c r="E250" s="3">
        <v>11.0</v>
      </c>
      <c r="F250" s="4">
        <v>2154.7</v>
      </c>
    </row>
    <row r="251">
      <c r="A251" s="2">
        <v>45176.0</v>
      </c>
      <c r="B251" s="3">
        <v>15457.0</v>
      </c>
      <c r="C251" s="3">
        <v>205.0</v>
      </c>
      <c r="D251" s="4">
        <v>404.98</v>
      </c>
      <c r="E251" s="3">
        <v>2.0</v>
      </c>
      <c r="F251" s="4">
        <v>394.3</v>
      </c>
    </row>
    <row r="252">
      <c r="A252" s="2">
        <v>45177.0</v>
      </c>
      <c r="B252" s="3">
        <v>48461.0</v>
      </c>
      <c r="C252" s="3">
        <v>659.0</v>
      </c>
      <c r="D252" s="4">
        <v>1100.64</v>
      </c>
      <c r="E252" s="3">
        <v>15.0</v>
      </c>
      <c r="F252" s="4">
        <v>2424.32</v>
      </c>
    </row>
    <row r="253">
      <c r="A253" s="2">
        <v>45178.0</v>
      </c>
      <c r="B253" s="3">
        <v>15448.0</v>
      </c>
      <c r="C253" s="3">
        <v>410.0</v>
      </c>
      <c r="D253" s="4">
        <v>435.57</v>
      </c>
      <c r="E253" s="3">
        <v>5.0</v>
      </c>
      <c r="F253" s="4">
        <v>874.43</v>
      </c>
    </row>
    <row r="254">
      <c r="A254" s="2">
        <v>45179.0</v>
      </c>
      <c r="B254" s="3">
        <v>63862.0</v>
      </c>
      <c r="C254" s="5">
        <v>1213.0</v>
      </c>
      <c r="D254" s="4">
        <v>2171.94</v>
      </c>
      <c r="E254" s="3">
        <v>20.0</v>
      </c>
      <c r="F254" s="4">
        <v>2940.74</v>
      </c>
    </row>
    <row r="255">
      <c r="A255" s="2">
        <v>45180.0</v>
      </c>
      <c r="B255" s="3">
        <v>62801.0</v>
      </c>
      <c r="C255" s="3">
        <v>628.0</v>
      </c>
      <c r="D255" s="4">
        <v>1086.45</v>
      </c>
      <c r="E255" s="3">
        <v>15.0</v>
      </c>
      <c r="F255" s="4">
        <v>2899.52</v>
      </c>
    </row>
    <row r="256">
      <c r="A256" s="2">
        <v>45181.0</v>
      </c>
      <c r="B256" s="3">
        <v>53734.0</v>
      </c>
      <c r="C256" s="3">
        <v>779.0</v>
      </c>
      <c r="D256" s="4">
        <v>1098.59</v>
      </c>
      <c r="E256" s="3">
        <v>12.0</v>
      </c>
      <c r="F256" s="4">
        <v>2362.21</v>
      </c>
    </row>
    <row r="257">
      <c r="A257" s="2">
        <v>45182.0</v>
      </c>
      <c r="B257" s="3">
        <v>94469.0</v>
      </c>
      <c r="C257" s="5">
        <v>1530.0</v>
      </c>
      <c r="D257" s="4">
        <v>1652.82</v>
      </c>
      <c r="E257" s="3">
        <v>35.0</v>
      </c>
      <c r="F257" s="4">
        <v>5642.42</v>
      </c>
    </row>
    <row r="258">
      <c r="A258" s="2">
        <v>45183.0</v>
      </c>
      <c r="B258" s="3">
        <v>78852.0</v>
      </c>
      <c r="C258" s="5">
        <v>1663.0</v>
      </c>
      <c r="D258" s="4">
        <v>2029.8</v>
      </c>
      <c r="E258" s="3">
        <v>38.0</v>
      </c>
      <c r="F258" s="4">
        <v>7308.97</v>
      </c>
    </row>
    <row r="259">
      <c r="A259" s="2">
        <v>45184.0</v>
      </c>
      <c r="B259" s="3">
        <v>54645.0</v>
      </c>
      <c r="C259" s="3">
        <v>551.0</v>
      </c>
      <c r="D259" s="4">
        <v>927.21</v>
      </c>
      <c r="E259" s="3">
        <v>8.0</v>
      </c>
      <c r="F259" s="4">
        <v>1135.12</v>
      </c>
    </row>
    <row r="260">
      <c r="A260" s="2">
        <v>45185.0</v>
      </c>
      <c r="B260" s="3">
        <v>53416.0</v>
      </c>
      <c r="C260" s="5">
        <v>1404.0</v>
      </c>
      <c r="D260" s="4">
        <v>2458.47</v>
      </c>
      <c r="E260" s="3">
        <v>20.0</v>
      </c>
      <c r="F260" s="4">
        <v>3347.45</v>
      </c>
    </row>
    <row r="261">
      <c r="A261" s="2">
        <v>45186.0</v>
      </c>
      <c r="B261" s="3">
        <v>33824.0</v>
      </c>
      <c r="C261" s="3">
        <v>575.0</v>
      </c>
      <c r="D261" s="4">
        <v>1012.01</v>
      </c>
      <c r="E261" s="3">
        <v>11.0</v>
      </c>
      <c r="F261" s="4">
        <v>1386.23</v>
      </c>
    </row>
    <row r="262">
      <c r="A262" s="2">
        <v>45187.0</v>
      </c>
      <c r="B262" s="3">
        <v>12008.0</v>
      </c>
      <c r="C262" s="3">
        <v>174.0</v>
      </c>
      <c r="D262" s="4">
        <v>295.99</v>
      </c>
      <c r="E262" s="3">
        <v>3.0</v>
      </c>
      <c r="F262" s="4">
        <v>585.76</v>
      </c>
    </row>
    <row r="263">
      <c r="A263" s="2">
        <v>45188.0</v>
      </c>
      <c r="B263" s="3">
        <v>14356.0</v>
      </c>
      <c r="C263" s="3">
        <v>150.0</v>
      </c>
      <c r="D263" s="4">
        <v>266.8</v>
      </c>
      <c r="E263" s="3">
        <v>2.0</v>
      </c>
      <c r="F263" s="4">
        <v>248.6</v>
      </c>
    </row>
    <row r="264">
      <c r="A264" s="2">
        <v>45189.0</v>
      </c>
      <c r="B264" s="3">
        <v>11629.0</v>
      </c>
      <c r="C264" s="3">
        <v>151.0</v>
      </c>
      <c r="D264" s="4">
        <v>291.77</v>
      </c>
      <c r="E264" s="3">
        <v>3.0</v>
      </c>
      <c r="F264" s="4">
        <v>428.04</v>
      </c>
    </row>
    <row r="265">
      <c r="A265" s="2">
        <v>45190.0</v>
      </c>
      <c r="B265" s="3">
        <v>91727.0</v>
      </c>
      <c r="C265" s="5">
        <v>1403.0</v>
      </c>
      <c r="D265" s="4">
        <v>1866.55</v>
      </c>
      <c r="E265" s="3">
        <v>25.0</v>
      </c>
      <c r="F265" s="4">
        <v>4218.69</v>
      </c>
    </row>
    <row r="266">
      <c r="A266" s="2">
        <v>45191.0</v>
      </c>
      <c r="B266" s="3">
        <v>80004.0</v>
      </c>
      <c r="C266" s="5">
        <v>1592.0</v>
      </c>
      <c r="D266" s="4">
        <v>3168.23</v>
      </c>
      <c r="E266" s="3">
        <v>31.0</v>
      </c>
      <c r="F266" s="4">
        <v>5926.36</v>
      </c>
    </row>
    <row r="267">
      <c r="A267" s="2">
        <v>45192.0</v>
      </c>
      <c r="B267" s="3">
        <v>23005.0</v>
      </c>
      <c r="C267" s="3">
        <v>669.0</v>
      </c>
      <c r="D267" s="4">
        <v>1071.11</v>
      </c>
      <c r="E267" s="3">
        <v>10.0</v>
      </c>
      <c r="F267" s="4">
        <v>2064.03</v>
      </c>
    </row>
    <row r="268">
      <c r="A268" s="2">
        <v>45193.0</v>
      </c>
      <c r="B268" s="3">
        <v>55696.0</v>
      </c>
      <c r="C268" s="5">
        <v>1615.0</v>
      </c>
      <c r="D268" s="4">
        <v>1954.37</v>
      </c>
      <c r="E268" s="3">
        <v>38.0</v>
      </c>
      <c r="F268" s="4">
        <v>4186.56</v>
      </c>
    </row>
    <row r="269">
      <c r="A269" s="2">
        <v>45194.0</v>
      </c>
      <c r="B269" s="3">
        <v>67655.0</v>
      </c>
      <c r="C269" s="3">
        <v>872.0</v>
      </c>
      <c r="D269" s="4">
        <v>1597.13</v>
      </c>
      <c r="E269" s="3">
        <v>13.0</v>
      </c>
      <c r="F269" s="4">
        <v>1508.9</v>
      </c>
    </row>
    <row r="270">
      <c r="A270" s="2">
        <v>45195.0</v>
      </c>
      <c r="B270" s="3">
        <v>72129.0</v>
      </c>
      <c r="C270" s="5">
        <v>1615.0</v>
      </c>
      <c r="D270" s="4">
        <v>2391.22</v>
      </c>
      <c r="E270" s="3">
        <v>38.0</v>
      </c>
      <c r="F270" s="4">
        <v>6824.67</v>
      </c>
    </row>
    <row r="271">
      <c r="A271" s="2">
        <v>45196.0</v>
      </c>
      <c r="B271" s="3">
        <v>40518.0</v>
      </c>
      <c r="C271" s="3">
        <v>660.0</v>
      </c>
      <c r="D271" s="4">
        <v>865.18</v>
      </c>
      <c r="E271" s="3">
        <v>14.0</v>
      </c>
      <c r="F271" s="4">
        <v>2633.32</v>
      </c>
    </row>
    <row r="272">
      <c r="A272" s="2">
        <v>45197.0</v>
      </c>
      <c r="B272" s="3">
        <v>14436.0</v>
      </c>
      <c r="C272" s="3">
        <v>232.0</v>
      </c>
      <c r="D272" s="4">
        <v>269.6</v>
      </c>
      <c r="E272" s="3">
        <v>5.0</v>
      </c>
      <c r="F272" s="4">
        <v>633.34</v>
      </c>
    </row>
    <row r="273">
      <c r="A273" s="2">
        <v>45198.0</v>
      </c>
      <c r="B273" s="3">
        <v>27249.0</v>
      </c>
      <c r="C273" s="3">
        <v>760.0</v>
      </c>
      <c r="D273" s="4">
        <v>1056.74</v>
      </c>
      <c r="E273" s="3">
        <v>10.0</v>
      </c>
      <c r="F273" s="4">
        <v>1261.1</v>
      </c>
    </row>
    <row r="274">
      <c r="A274" s="2">
        <v>45199.0</v>
      </c>
      <c r="B274" s="3">
        <v>40345.0</v>
      </c>
      <c r="C274" s="5">
        <v>1069.0</v>
      </c>
      <c r="D274" s="4">
        <v>1603.71</v>
      </c>
      <c r="E274" s="3">
        <v>18.0</v>
      </c>
      <c r="F274" s="4">
        <v>2011.06</v>
      </c>
    </row>
    <row r="275">
      <c r="A275" s="2">
        <v>45200.0</v>
      </c>
      <c r="B275" s="3">
        <v>62184.0</v>
      </c>
      <c r="C275" s="5">
        <v>1610.0</v>
      </c>
      <c r="D275" s="4">
        <v>2560.79</v>
      </c>
      <c r="E275" s="3">
        <v>33.0</v>
      </c>
      <c r="F275" s="4">
        <v>5587.7</v>
      </c>
    </row>
    <row r="276">
      <c r="A276" s="2">
        <v>45201.0</v>
      </c>
      <c r="B276" s="3">
        <v>78606.0</v>
      </c>
      <c r="C276" s="5">
        <v>2255.0</v>
      </c>
      <c r="D276" s="4">
        <v>3429.1</v>
      </c>
      <c r="E276" s="3">
        <v>49.0</v>
      </c>
      <c r="F276" s="4">
        <v>5135.32</v>
      </c>
    </row>
    <row r="277">
      <c r="A277" s="2">
        <v>45202.0</v>
      </c>
      <c r="B277" s="3">
        <v>91632.0</v>
      </c>
      <c r="C277" s="5">
        <v>1841.0</v>
      </c>
      <c r="D277" s="4">
        <v>1878.63</v>
      </c>
      <c r="E277" s="3">
        <v>39.0</v>
      </c>
      <c r="F277" s="4">
        <v>6890.19</v>
      </c>
    </row>
    <row r="278">
      <c r="A278" s="2">
        <v>45203.0</v>
      </c>
      <c r="B278" s="3">
        <v>87605.0</v>
      </c>
      <c r="C278" s="5">
        <v>1611.0</v>
      </c>
      <c r="D278" s="4">
        <v>2321.18</v>
      </c>
      <c r="E278" s="3">
        <v>37.0</v>
      </c>
      <c r="F278" s="4">
        <v>7355.25</v>
      </c>
    </row>
    <row r="279">
      <c r="A279" s="2">
        <v>45204.0</v>
      </c>
      <c r="B279" s="3">
        <v>49315.0</v>
      </c>
      <c r="C279" s="3">
        <v>774.0</v>
      </c>
      <c r="D279" s="4">
        <v>1192.33</v>
      </c>
      <c r="E279" s="3">
        <v>16.0</v>
      </c>
      <c r="F279" s="4">
        <v>2152.17</v>
      </c>
    </row>
    <row r="280">
      <c r="A280" s="2">
        <v>45205.0</v>
      </c>
      <c r="B280" s="3">
        <v>53875.0</v>
      </c>
      <c r="C280" s="5">
        <v>1293.0</v>
      </c>
      <c r="D280" s="4">
        <v>2456.7</v>
      </c>
      <c r="E280" s="3">
        <v>22.0</v>
      </c>
      <c r="F280" s="4">
        <v>4208.72</v>
      </c>
    </row>
    <row r="281">
      <c r="A281" s="2">
        <v>45206.0</v>
      </c>
      <c r="B281" s="3">
        <v>18309.0</v>
      </c>
      <c r="C281" s="3">
        <v>395.0</v>
      </c>
      <c r="D281" s="4">
        <v>458.75</v>
      </c>
      <c r="E281" s="3">
        <v>5.0</v>
      </c>
      <c r="F281" s="4">
        <v>962.55</v>
      </c>
    </row>
    <row r="282">
      <c r="A282" s="2">
        <v>45207.0</v>
      </c>
      <c r="B282" s="3">
        <v>83535.0</v>
      </c>
      <c r="C282" s="5">
        <v>1904.0</v>
      </c>
      <c r="D282" s="4">
        <v>3523.5</v>
      </c>
      <c r="E282" s="3">
        <v>40.0</v>
      </c>
      <c r="F282" s="4">
        <v>5217.07</v>
      </c>
    </row>
    <row r="283">
      <c r="A283" s="2">
        <v>45208.0</v>
      </c>
      <c r="B283" s="3">
        <v>66799.0</v>
      </c>
      <c r="C283" s="5">
        <v>1162.0</v>
      </c>
      <c r="D283" s="4">
        <v>1464.5</v>
      </c>
      <c r="E283" s="3">
        <v>14.0</v>
      </c>
      <c r="F283" s="4">
        <v>2455.36</v>
      </c>
    </row>
    <row r="284">
      <c r="A284" s="2">
        <v>45209.0</v>
      </c>
      <c r="B284" s="3">
        <v>87053.0</v>
      </c>
      <c r="C284" s="5">
        <v>1488.0</v>
      </c>
      <c r="D284" s="4">
        <v>1771.44</v>
      </c>
      <c r="E284" s="3">
        <v>36.0</v>
      </c>
      <c r="F284" s="4">
        <v>4631.8</v>
      </c>
    </row>
    <row r="285">
      <c r="A285" s="2">
        <v>45210.0</v>
      </c>
      <c r="B285" s="3">
        <v>65507.0</v>
      </c>
      <c r="C285" s="5">
        <v>1074.0</v>
      </c>
      <c r="D285" s="4">
        <v>1439.58</v>
      </c>
      <c r="E285" s="3">
        <v>18.0</v>
      </c>
      <c r="F285" s="4">
        <v>2516.8</v>
      </c>
    </row>
    <row r="286">
      <c r="A286" s="2">
        <v>45211.0</v>
      </c>
      <c r="B286" s="3">
        <v>18907.0</v>
      </c>
      <c r="C286" s="3">
        <v>274.0</v>
      </c>
      <c r="D286" s="4">
        <v>282.37</v>
      </c>
      <c r="E286" s="3">
        <v>3.0</v>
      </c>
      <c r="F286" s="4">
        <v>496.9</v>
      </c>
    </row>
    <row r="287">
      <c r="A287" s="2">
        <v>45212.0</v>
      </c>
      <c r="B287" s="3">
        <v>88312.0</v>
      </c>
      <c r="C287" s="5">
        <v>2508.0</v>
      </c>
      <c r="D287" s="4">
        <v>2708.7</v>
      </c>
      <c r="E287" s="3">
        <v>49.0</v>
      </c>
      <c r="F287" s="4">
        <v>6138.98</v>
      </c>
    </row>
    <row r="288">
      <c r="A288" s="2">
        <v>45213.0</v>
      </c>
      <c r="B288" s="3">
        <v>33076.0</v>
      </c>
      <c r="C288" s="3">
        <v>873.0</v>
      </c>
      <c r="D288" s="4">
        <v>1336.0</v>
      </c>
      <c r="E288" s="3">
        <v>16.0</v>
      </c>
      <c r="F288" s="4">
        <v>2351.37</v>
      </c>
    </row>
    <row r="289">
      <c r="A289" s="2">
        <v>45214.0</v>
      </c>
      <c r="B289" s="3">
        <v>55614.0</v>
      </c>
      <c r="C289" s="5">
        <v>1134.0</v>
      </c>
      <c r="D289" s="4">
        <v>1781.2</v>
      </c>
      <c r="E289" s="3">
        <v>24.0</v>
      </c>
      <c r="F289" s="4">
        <v>4127.4</v>
      </c>
    </row>
    <row r="290">
      <c r="A290" s="2">
        <v>45215.0</v>
      </c>
      <c r="B290" s="3">
        <v>54210.0</v>
      </c>
      <c r="C290" s="3">
        <v>861.0</v>
      </c>
      <c r="D290" s="4">
        <v>948.13</v>
      </c>
      <c r="E290" s="3">
        <v>15.0</v>
      </c>
      <c r="F290" s="4">
        <v>2480.57</v>
      </c>
    </row>
    <row r="291">
      <c r="A291" s="2">
        <v>45216.0</v>
      </c>
      <c r="B291" s="3">
        <v>42018.0</v>
      </c>
      <c r="C291" s="3">
        <v>722.0</v>
      </c>
      <c r="D291" s="4">
        <v>1308.1</v>
      </c>
      <c r="E291" s="3">
        <v>11.0</v>
      </c>
      <c r="F291" s="4">
        <v>1241.04</v>
      </c>
    </row>
    <row r="292">
      <c r="A292" s="2">
        <v>45217.0</v>
      </c>
      <c r="B292" s="3">
        <v>23750.0</v>
      </c>
      <c r="C292" s="3">
        <v>315.0</v>
      </c>
      <c r="D292" s="4">
        <v>442.22</v>
      </c>
      <c r="E292" s="3">
        <v>7.0</v>
      </c>
      <c r="F292" s="4">
        <v>993.58</v>
      </c>
    </row>
    <row r="293">
      <c r="A293" s="2">
        <v>45218.0</v>
      </c>
      <c r="B293" s="3">
        <v>16272.0</v>
      </c>
      <c r="C293" s="3">
        <v>235.0</v>
      </c>
      <c r="D293" s="4">
        <v>342.11</v>
      </c>
      <c r="E293" s="3">
        <v>3.0</v>
      </c>
      <c r="F293" s="4">
        <v>603.88</v>
      </c>
    </row>
    <row r="294">
      <c r="A294" s="2">
        <v>45219.0</v>
      </c>
      <c r="B294" s="3">
        <v>83037.0</v>
      </c>
      <c r="C294" s="5">
        <v>1826.0</v>
      </c>
      <c r="D294" s="4">
        <v>2027.76</v>
      </c>
      <c r="E294" s="3">
        <v>36.0</v>
      </c>
      <c r="F294" s="4">
        <v>5151.62</v>
      </c>
    </row>
    <row r="295">
      <c r="A295" s="2">
        <v>45220.0</v>
      </c>
      <c r="B295" s="3">
        <v>85760.0</v>
      </c>
      <c r="C295" s="5">
        <v>1989.0</v>
      </c>
      <c r="D295" s="4">
        <v>2865.07</v>
      </c>
      <c r="E295" s="3">
        <v>37.0</v>
      </c>
      <c r="F295" s="4">
        <v>3757.82</v>
      </c>
    </row>
    <row r="296">
      <c r="A296" s="2">
        <v>45221.0</v>
      </c>
      <c r="B296" s="3">
        <v>59118.0</v>
      </c>
      <c r="C296" s="3">
        <v>922.0</v>
      </c>
      <c r="D296" s="4">
        <v>1254.24</v>
      </c>
      <c r="E296" s="3">
        <v>14.0</v>
      </c>
      <c r="F296" s="4">
        <v>1607.19</v>
      </c>
    </row>
    <row r="297">
      <c r="A297" s="2">
        <v>45222.0</v>
      </c>
      <c r="B297" s="3">
        <v>59548.0</v>
      </c>
      <c r="C297" s="3">
        <v>869.0</v>
      </c>
      <c r="D297" s="4">
        <v>869.4</v>
      </c>
      <c r="E297" s="3">
        <v>18.0</v>
      </c>
      <c r="F297" s="4">
        <v>3343.37</v>
      </c>
    </row>
    <row r="298">
      <c r="A298" s="2">
        <v>45223.0</v>
      </c>
      <c r="B298" s="3">
        <v>18054.0</v>
      </c>
      <c r="C298" s="3">
        <v>530.0</v>
      </c>
      <c r="D298" s="4">
        <v>615.71</v>
      </c>
      <c r="E298" s="3">
        <v>11.0</v>
      </c>
      <c r="F298" s="4">
        <v>1501.92</v>
      </c>
    </row>
    <row r="299">
      <c r="A299" s="2">
        <v>45224.0</v>
      </c>
      <c r="B299" s="3">
        <v>80909.0</v>
      </c>
      <c r="C299" s="5">
        <v>1213.0</v>
      </c>
      <c r="D299" s="4">
        <v>1796.17</v>
      </c>
      <c r="E299" s="3">
        <v>27.0</v>
      </c>
      <c r="F299" s="4">
        <v>3058.24</v>
      </c>
    </row>
    <row r="300">
      <c r="A300" s="2">
        <v>45225.0</v>
      </c>
      <c r="B300" s="3">
        <v>18941.0</v>
      </c>
      <c r="C300" s="3">
        <v>465.0</v>
      </c>
      <c r="D300" s="4">
        <v>465.94</v>
      </c>
      <c r="E300" s="3">
        <v>8.0</v>
      </c>
      <c r="F300" s="4">
        <v>1437.68</v>
      </c>
    </row>
    <row r="301">
      <c r="A301" s="2">
        <v>45226.0</v>
      </c>
      <c r="B301" s="3">
        <v>50637.0</v>
      </c>
      <c r="C301" s="3">
        <v>896.0</v>
      </c>
      <c r="D301" s="4">
        <v>914.2</v>
      </c>
      <c r="E301" s="3">
        <v>15.0</v>
      </c>
      <c r="F301" s="4">
        <v>2666.96</v>
      </c>
    </row>
    <row r="302">
      <c r="A302" s="2">
        <v>45227.0</v>
      </c>
      <c r="B302" s="3">
        <v>55842.0</v>
      </c>
      <c r="C302" s="3">
        <v>988.0</v>
      </c>
      <c r="D302" s="4">
        <v>1176.2</v>
      </c>
      <c r="E302" s="3">
        <v>21.0</v>
      </c>
      <c r="F302" s="4">
        <v>3081.25</v>
      </c>
    </row>
    <row r="303">
      <c r="A303" s="2">
        <v>45228.0</v>
      </c>
      <c r="B303" s="3">
        <v>98340.0</v>
      </c>
      <c r="C303" s="5">
        <v>1868.0</v>
      </c>
      <c r="D303" s="4">
        <v>3101.64</v>
      </c>
      <c r="E303" s="3">
        <v>31.0</v>
      </c>
      <c r="F303" s="4">
        <v>4218.24</v>
      </c>
    </row>
    <row r="304">
      <c r="A304" s="2">
        <v>45229.0</v>
      </c>
      <c r="B304" s="3">
        <v>64827.0</v>
      </c>
      <c r="C304" s="5">
        <v>1199.0</v>
      </c>
      <c r="D304" s="4">
        <v>1499.12</v>
      </c>
      <c r="E304" s="3">
        <v>22.0</v>
      </c>
      <c r="F304" s="4">
        <v>4193.71</v>
      </c>
    </row>
    <row r="305">
      <c r="A305" s="2">
        <v>45230.0</v>
      </c>
      <c r="B305" s="3">
        <v>47590.0</v>
      </c>
      <c r="C305" s="5">
        <v>1403.0</v>
      </c>
      <c r="D305" s="4">
        <v>1853.15</v>
      </c>
      <c r="E305" s="3">
        <v>30.0</v>
      </c>
      <c r="F305" s="4">
        <v>3929.95</v>
      </c>
    </row>
    <row r="306">
      <c r="A306" s="2">
        <v>45231.0</v>
      </c>
      <c r="B306" s="3">
        <v>17032.0</v>
      </c>
      <c r="C306" s="3">
        <v>454.0</v>
      </c>
      <c r="D306" s="4">
        <v>727.6</v>
      </c>
      <c r="E306" s="3">
        <v>8.0</v>
      </c>
      <c r="F306" s="4">
        <v>1440.84</v>
      </c>
    </row>
    <row r="307">
      <c r="A307" s="2">
        <v>45232.0</v>
      </c>
      <c r="B307" s="3">
        <v>98321.0</v>
      </c>
      <c r="C307" s="5">
        <v>1877.0</v>
      </c>
      <c r="D307" s="4">
        <v>2272.29</v>
      </c>
      <c r="E307" s="3">
        <v>26.0</v>
      </c>
      <c r="F307" s="4">
        <v>4660.27</v>
      </c>
    </row>
    <row r="308">
      <c r="A308" s="2">
        <v>45233.0</v>
      </c>
      <c r="B308" s="3">
        <v>13212.0</v>
      </c>
      <c r="C308" s="3">
        <v>221.0</v>
      </c>
      <c r="D308" s="4">
        <v>370.67</v>
      </c>
      <c r="E308" s="3">
        <v>4.0</v>
      </c>
      <c r="F308" s="4">
        <v>769.1</v>
      </c>
    </row>
    <row r="309">
      <c r="A309" s="2">
        <v>45234.0</v>
      </c>
      <c r="B309" s="3">
        <v>12657.0</v>
      </c>
      <c r="C309" s="3">
        <v>230.0</v>
      </c>
      <c r="D309" s="4">
        <v>456.1</v>
      </c>
      <c r="E309" s="3">
        <v>4.0</v>
      </c>
      <c r="F309" s="4">
        <v>554.52</v>
      </c>
    </row>
    <row r="310">
      <c r="A310" s="2">
        <v>45235.0</v>
      </c>
      <c r="B310" s="3">
        <v>19896.0</v>
      </c>
      <c r="C310" s="3">
        <v>493.0</v>
      </c>
      <c r="D310" s="4">
        <v>690.78</v>
      </c>
      <c r="E310" s="3">
        <v>11.0</v>
      </c>
      <c r="F310" s="4">
        <v>1628.49</v>
      </c>
    </row>
    <row r="311">
      <c r="A311" s="2">
        <v>45236.0</v>
      </c>
      <c r="B311" s="3">
        <v>88487.0</v>
      </c>
      <c r="C311" s="5">
        <v>2610.0</v>
      </c>
      <c r="D311" s="4">
        <v>2714.78</v>
      </c>
      <c r="E311" s="3">
        <v>59.0</v>
      </c>
      <c r="F311" s="4">
        <v>11140.0</v>
      </c>
    </row>
    <row r="312">
      <c r="A312" s="2">
        <v>45237.0</v>
      </c>
      <c r="B312" s="3">
        <v>35632.0</v>
      </c>
      <c r="C312" s="3">
        <v>694.0</v>
      </c>
      <c r="D312" s="4">
        <v>1202.04</v>
      </c>
      <c r="E312" s="3">
        <v>12.0</v>
      </c>
      <c r="F312" s="4">
        <v>1638.39</v>
      </c>
    </row>
    <row r="313">
      <c r="A313" s="2">
        <v>45238.0</v>
      </c>
      <c r="B313" s="3">
        <v>94021.0</v>
      </c>
      <c r="C313" s="5">
        <v>2171.0</v>
      </c>
      <c r="D313" s="4">
        <v>2497.66</v>
      </c>
      <c r="E313" s="3">
        <v>52.0</v>
      </c>
      <c r="F313" s="4">
        <v>9002.9</v>
      </c>
    </row>
    <row r="314">
      <c r="A314" s="2">
        <v>45239.0</v>
      </c>
      <c r="B314" s="3">
        <v>68712.0</v>
      </c>
      <c r="C314" s="5">
        <v>1635.0</v>
      </c>
      <c r="D314" s="4">
        <v>2453.01</v>
      </c>
      <c r="E314" s="3">
        <v>39.0</v>
      </c>
      <c r="F314" s="4">
        <v>6527.15</v>
      </c>
    </row>
    <row r="315">
      <c r="A315" s="2">
        <v>45240.0</v>
      </c>
      <c r="B315" s="3">
        <v>20540.0</v>
      </c>
      <c r="C315" s="3">
        <v>501.0</v>
      </c>
      <c r="D315" s="4">
        <v>536.25</v>
      </c>
      <c r="E315" s="3">
        <v>10.0</v>
      </c>
      <c r="F315" s="4">
        <v>1571.19</v>
      </c>
    </row>
    <row r="316">
      <c r="A316" s="2">
        <v>45241.0</v>
      </c>
      <c r="B316" s="3">
        <v>35478.0</v>
      </c>
      <c r="C316" s="3">
        <v>418.0</v>
      </c>
      <c r="D316" s="4">
        <v>418.64</v>
      </c>
      <c r="E316" s="3">
        <v>10.0</v>
      </c>
      <c r="F316" s="4">
        <v>1321.69</v>
      </c>
    </row>
    <row r="317">
      <c r="A317" s="2">
        <v>45242.0</v>
      </c>
      <c r="B317" s="3">
        <v>53934.0</v>
      </c>
      <c r="C317" s="3">
        <v>728.0</v>
      </c>
      <c r="D317" s="4">
        <v>1390.68</v>
      </c>
      <c r="E317" s="3">
        <v>15.0</v>
      </c>
      <c r="F317" s="4">
        <v>2980.44</v>
      </c>
    </row>
    <row r="318">
      <c r="A318" s="2">
        <v>45243.0</v>
      </c>
      <c r="B318" s="3">
        <v>93139.0</v>
      </c>
      <c r="C318" s="5">
        <v>2393.0</v>
      </c>
      <c r="D318" s="4">
        <v>2704.84</v>
      </c>
      <c r="E318" s="3">
        <v>30.0</v>
      </c>
      <c r="F318" s="4">
        <v>3427.5</v>
      </c>
    </row>
    <row r="319">
      <c r="A319" s="2">
        <v>45244.0</v>
      </c>
      <c r="B319" s="3">
        <v>76825.0</v>
      </c>
      <c r="C319" s="5">
        <v>1267.0</v>
      </c>
      <c r="D319" s="4">
        <v>2053.53</v>
      </c>
      <c r="E319" s="3">
        <v>19.0</v>
      </c>
      <c r="F319" s="4">
        <v>2737.16</v>
      </c>
    </row>
    <row r="320">
      <c r="A320" s="2">
        <v>45245.0</v>
      </c>
      <c r="B320" s="3">
        <v>69812.0</v>
      </c>
      <c r="C320" s="5">
        <v>1172.0</v>
      </c>
      <c r="D320" s="4">
        <v>1337.03</v>
      </c>
      <c r="E320" s="3">
        <v>18.0</v>
      </c>
      <c r="F320" s="4">
        <v>2186.65</v>
      </c>
    </row>
    <row r="321">
      <c r="A321" s="2">
        <v>45246.0</v>
      </c>
      <c r="B321" s="3">
        <v>55567.0</v>
      </c>
      <c r="C321" s="3">
        <v>566.0</v>
      </c>
      <c r="D321" s="4">
        <v>725.48</v>
      </c>
      <c r="E321" s="3">
        <v>12.0</v>
      </c>
      <c r="F321" s="4">
        <v>1579.91</v>
      </c>
    </row>
    <row r="322">
      <c r="A322" s="2">
        <v>45247.0</v>
      </c>
      <c r="B322" s="3">
        <v>71139.0</v>
      </c>
      <c r="C322" s="5">
        <v>2027.0</v>
      </c>
      <c r="D322" s="4">
        <v>2534.32</v>
      </c>
      <c r="E322" s="3">
        <v>50.0</v>
      </c>
      <c r="F322" s="4">
        <v>6865.8</v>
      </c>
    </row>
    <row r="323">
      <c r="A323" s="2">
        <v>45248.0</v>
      </c>
      <c r="B323" s="3">
        <v>72501.0</v>
      </c>
      <c r="C323" s="5">
        <v>1044.0</v>
      </c>
      <c r="D323" s="4">
        <v>1586.9</v>
      </c>
      <c r="E323" s="3">
        <v>23.0</v>
      </c>
      <c r="F323" s="4">
        <v>3657.18</v>
      </c>
    </row>
    <row r="324">
      <c r="A324" s="2">
        <v>45249.0</v>
      </c>
      <c r="B324" s="3">
        <v>60693.0</v>
      </c>
      <c r="C324" s="3">
        <v>716.0</v>
      </c>
      <c r="D324" s="4">
        <v>1260.47</v>
      </c>
      <c r="E324" s="3">
        <v>11.0</v>
      </c>
      <c r="F324" s="4">
        <v>1628.73</v>
      </c>
    </row>
    <row r="325">
      <c r="A325" s="2">
        <v>45250.0</v>
      </c>
      <c r="B325" s="3">
        <v>76237.0</v>
      </c>
      <c r="C325" s="5">
        <v>1478.0</v>
      </c>
      <c r="D325" s="4">
        <v>1819.16</v>
      </c>
      <c r="E325" s="3">
        <v>34.0</v>
      </c>
      <c r="F325" s="4">
        <v>5918.06</v>
      </c>
    </row>
    <row r="326">
      <c r="A326" s="2">
        <v>45251.0</v>
      </c>
      <c r="B326" s="3">
        <v>25965.0</v>
      </c>
      <c r="C326" s="3">
        <v>262.0</v>
      </c>
      <c r="D326" s="4">
        <v>422.21</v>
      </c>
      <c r="E326" s="3">
        <v>6.0</v>
      </c>
      <c r="F326" s="4">
        <v>1199.46</v>
      </c>
    </row>
    <row r="327">
      <c r="A327" s="2">
        <v>45252.0</v>
      </c>
      <c r="B327" s="3">
        <v>97709.0</v>
      </c>
      <c r="C327" s="5">
        <v>2335.0</v>
      </c>
      <c r="D327" s="4">
        <v>3502.86</v>
      </c>
      <c r="E327" s="3">
        <v>34.0</v>
      </c>
      <c r="F327" s="4">
        <v>4147.4</v>
      </c>
    </row>
    <row r="328">
      <c r="A328" s="2">
        <v>45253.0</v>
      </c>
      <c r="B328" s="3">
        <v>62949.0</v>
      </c>
      <c r="C328" s="3">
        <v>755.0</v>
      </c>
      <c r="D328" s="4">
        <v>1133.08</v>
      </c>
      <c r="E328" s="3">
        <v>9.0</v>
      </c>
      <c r="F328" s="4">
        <v>1730.74</v>
      </c>
    </row>
    <row r="329">
      <c r="A329" s="2">
        <v>45254.0</v>
      </c>
      <c r="B329" s="3">
        <v>49105.0</v>
      </c>
      <c r="C329" s="3">
        <v>756.0</v>
      </c>
      <c r="D329" s="4">
        <v>1194.82</v>
      </c>
      <c r="E329" s="3">
        <v>10.0</v>
      </c>
      <c r="F329" s="4">
        <v>1560.53</v>
      </c>
    </row>
    <row r="330">
      <c r="A330" s="2">
        <v>45255.0</v>
      </c>
      <c r="B330" s="3">
        <v>17204.0</v>
      </c>
      <c r="C330" s="3">
        <v>228.0</v>
      </c>
      <c r="D330" s="4">
        <v>377.54</v>
      </c>
      <c r="E330" s="3">
        <v>3.0</v>
      </c>
      <c r="F330" s="4">
        <v>604.16</v>
      </c>
    </row>
    <row r="331">
      <c r="A331" s="2">
        <v>45256.0</v>
      </c>
      <c r="B331" s="3">
        <v>16782.0</v>
      </c>
      <c r="C331" s="3">
        <v>174.0</v>
      </c>
      <c r="D331" s="4">
        <v>314.15</v>
      </c>
      <c r="E331" s="3">
        <v>3.0</v>
      </c>
      <c r="F331" s="4">
        <v>399.26</v>
      </c>
    </row>
    <row r="332">
      <c r="A332" s="2">
        <v>45257.0</v>
      </c>
      <c r="B332" s="3">
        <v>14376.0</v>
      </c>
      <c r="C332" s="3">
        <v>245.0</v>
      </c>
      <c r="D332" s="4">
        <v>373.66</v>
      </c>
      <c r="E332" s="3">
        <v>3.0</v>
      </c>
      <c r="F332" s="4">
        <v>605.72</v>
      </c>
    </row>
    <row r="333">
      <c r="A333" s="2">
        <v>45258.0</v>
      </c>
      <c r="B333" s="3">
        <v>78944.0</v>
      </c>
      <c r="C333" s="5">
        <v>1839.0</v>
      </c>
      <c r="D333" s="4">
        <v>3494.85</v>
      </c>
      <c r="E333" s="3">
        <v>24.0</v>
      </c>
      <c r="F333" s="4">
        <v>2597.96</v>
      </c>
    </row>
    <row r="334">
      <c r="A334" s="2">
        <v>45259.0</v>
      </c>
      <c r="B334" s="3">
        <v>26974.0</v>
      </c>
      <c r="C334" s="3">
        <v>679.0</v>
      </c>
      <c r="D334" s="4">
        <v>1128.37</v>
      </c>
      <c r="E334" s="3">
        <v>10.0</v>
      </c>
      <c r="F334" s="4">
        <v>1806.49</v>
      </c>
    </row>
    <row r="335">
      <c r="A335" s="2">
        <v>45260.0</v>
      </c>
      <c r="B335" s="3">
        <v>38378.0</v>
      </c>
      <c r="C335" s="5">
        <v>1013.0</v>
      </c>
      <c r="D335" s="4">
        <v>1610.95</v>
      </c>
      <c r="E335" s="3">
        <v>18.0</v>
      </c>
      <c r="F335" s="4">
        <v>2939.64</v>
      </c>
    </row>
    <row r="336">
      <c r="A336" s="2">
        <v>45261.0</v>
      </c>
      <c r="B336" s="5">
        <v>99954.0</v>
      </c>
      <c r="C336" s="3">
        <v>2447.0</v>
      </c>
      <c r="D336" s="4">
        <v>2938.64</v>
      </c>
      <c r="E336" s="3">
        <v>31.0</v>
      </c>
      <c r="F336" s="4">
        <v>5538.78</v>
      </c>
    </row>
    <row r="337">
      <c r="A337" s="2">
        <v>45262.0</v>
      </c>
      <c r="B337" s="5">
        <v>92967.0</v>
      </c>
      <c r="C337" s="3">
        <v>1877.0</v>
      </c>
      <c r="D337" s="4">
        <v>2723.0</v>
      </c>
      <c r="E337" s="3">
        <v>34.0</v>
      </c>
      <c r="F337" s="4">
        <v>6672.67</v>
      </c>
    </row>
    <row r="338">
      <c r="A338" s="2">
        <v>45263.0</v>
      </c>
      <c r="B338" s="5">
        <v>57849.0</v>
      </c>
      <c r="C338" s="3">
        <v>670.0</v>
      </c>
      <c r="D338" s="4">
        <v>1234.72</v>
      </c>
      <c r="E338" s="3">
        <v>12.0</v>
      </c>
      <c r="F338" s="4">
        <v>2625.34</v>
      </c>
    </row>
    <row r="339">
      <c r="A339" s="2">
        <v>45264.0</v>
      </c>
      <c r="B339" s="5">
        <v>106053.0</v>
      </c>
      <c r="C339" s="3">
        <v>2767.0</v>
      </c>
      <c r="D339" s="4">
        <v>4677.88</v>
      </c>
      <c r="E339" s="3">
        <v>62.0</v>
      </c>
      <c r="F339" s="4">
        <v>11381.39</v>
      </c>
    </row>
    <row r="340">
      <c r="A340" s="2">
        <v>45265.0</v>
      </c>
      <c r="B340" s="5">
        <v>76114.0</v>
      </c>
      <c r="C340" s="3">
        <v>768.0</v>
      </c>
      <c r="D340" s="4">
        <v>1183.87</v>
      </c>
      <c r="E340" s="3">
        <v>19.0</v>
      </c>
      <c r="F340" s="4">
        <v>2306.25</v>
      </c>
    </row>
    <row r="341">
      <c r="A341" s="2">
        <v>45266.0</v>
      </c>
      <c r="B341" s="5">
        <v>56666.0</v>
      </c>
      <c r="C341" s="3">
        <v>1688.0</v>
      </c>
      <c r="D341" s="4">
        <v>2684.94</v>
      </c>
      <c r="E341" s="3">
        <v>23.0</v>
      </c>
      <c r="F341" s="4">
        <v>4456.33</v>
      </c>
    </row>
    <row r="342">
      <c r="A342" s="2">
        <v>45267.0</v>
      </c>
      <c r="B342" s="5">
        <v>71577.0</v>
      </c>
      <c r="C342" s="3">
        <v>1488.0</v>
      </c>
      <c r="D342" s="4">
        <v>2262.97</v>
      </c>
      <c r="E342" s="3">
        <v>30.0</v>
      </c>
      <c r="F342" s="4">
        <v>4513.3</v>
      </c>
    </row>
    <row r="343">
      <c r="A343" s="2">
        <v>45268.0</v>
      </c>
      <c r="B343" s="5">
        <v>106918.0</v>
      </c>
      <c r="C343" s="3">
        <v>1666.0</v>
      </c>
      <c r="D343" s="4">
        <v>3319.16</v>
      </c>
      <c r="E343" s="3">
        <v>32.0</v>
      </c>
      <c r="F343" s="4">
        <v>6472.86</v>
      </c>
    </row>
    <row r="344">
      <c r="A344" s="2">
        <v>45269.0</v>
      </c>
      <c r="B344" s="5">
        <v>71077.0</v>
      </c>
      <c r="C344" s="3">
        <v>1640.0</v>
      </c>
      <c r="D344" s="4">
        <v>2709.1</v>
      </c>
      <c r="E344" s="3">
        <v>37.0</v>
      </c>
      <c r="F344" s="4">
        <v>4668.68</v>
      </c>
    </row>
    <row r="345">
      <c r="A345" s="2">
        <v>45270.0</v>
      </c>
      <c r="B345" s="5">
        <v>44348.0</v>
      </c>
      <c r="C345" s="3">
        <v>828.0</v>
      </c>
      <c r="D345" s="4">
        <v>1559.09</v>
      </c>
      <c r="E345" s="3">
        <v>12.0</v>
      </c>
      <c r="F345" s="4">
        <v>1512.65</v>
      </c>
    </row>
    <row r="346">
      <c r="A346" s="2">
        <v>45271.0</v>
      </c>
      <c r="B346" s="5">
        <v>64166.0</v>
      </c>
      <c r="C346" s="3">
        <v>756.0</v>
      </c>
      <c r="D346" s="4">
        <v>1484.03</v>
      </c>
      <c r="E346" s="3">
        <v>9.0</v>
      </c>
      <c r="F346" s="4">
        <v>1864.73</v>
      </c>
    </row>
    <row r="347">
      <c r="A347" s="2">
        <v>45272.0</v>
      </c>
      <c r="B347" s="5">
        <v>34386.0</v>
      </c>
      <c r="C347" s="3">
        <v>343.0</v>
      </c>
      <c r="D347" s="4">
        <v>587.99</v>
      </c>
      <c r="E347" s="3">
        <v>4.0</v>
      </c>
      <c r="F347" s="4">
        <v>570.53</v>
      </c>
    </row>
    <row r="348">
      <c r="A348" s="2">
        <v>45273.0</v>
      </c>
      <c r="B348" s="5">
        <v>110153.0</v>
      </c>
      <c r="C348" s="3">
        <v>2224.0</v>
      </c>
      <c r="D348" s="4">
        <v>3293.13</v>
      </c>
      <c r="E348" s="3">
        <v>50.0</v>
      </c>
      <c r="F348" s="4">
        <v>6037.11</v>
      </c>
    </row>
    <row r="349">
      <c r="A349" s="2">
        <v>45274.0</v>
      </c>
      <c r="B349" s="5">
        <v>24831.0</v>
      </c>
      <c r="C349" s="3">
        <v>741.0</v>
      </c>
      <c r="D349" s="4">
        <v>1336.38</v>
      </c>
      <c r="E349" s="3">
        <v>11.0</v>
      </c>
      <c r="F349" s="4">
        <v>2178.33</v>
      </c>
    </row>
    <row r="350">
      <c r="A350" s="2">
        <v>45275.0</v>
      </c>
      <c r="B350" s="5">
        <v>108166.0</v>
      </c>
      <c r="C350" s="3">
        <v>3006.0</v>
      </c>
      <c r="D350" s="4">
        <v>4931.5</v>
      </c>
      <c r="E350" s="3">
        <v>59.0</v>
      </c>
      <c r="F350" s="4">
        <v>6134.31</v>
      </c>
    </row>
    <row r="351">
      <c r="A351" s="2">
        <v>45276.0</v>
      </c>
      <c r="B351" s="5">
        <v>91150.0</v>
      </c>
      <c r="C351" s="3">
        <v>2488.0</v>
      </c>
      <c r="D351" s="4">
        <v>3110.49</v>
      </c>
      <c r="E351" s="3">
        <v>54.0</v>
      </c>
      <c r="F351" s="4">
        <v>10849.4</v>
      </c>
    </row>
    <row r="352">
      <c r="A352" s="2">
        <v>45277.0</v>
      </c>
      <c r="B352" s="5">
        <v>46523.0</v>
      </c>
      <c r="C352" s="3">
        <v>673.0</v>
      </c>
      <c r="D352" s="4">
        <v>1018.62</v>
      </c>
      <c r="E352" s="3">
        <v>9.0</v>
      </c>
      <c r="F352" s="4">
        <v>1679.71</v>
      </c>
    </row>
    <row r="353">
      <c r="A353" s="2">
        <v>45278.0</v>
      </c>
      <c r="B353" s="5">
        <v>98159.0</v>
      </c>
      <c r="C353" s="3">
        <v>1648.0</v>
      </c>
      <c r="D353" s="4">
        <v>2720.97</v>
      </c>
      <c r="E353" s="3">
        <v>32.0</v>
      </c>
      <c r="F353" s="4">
        <v>5568.58</v>
      </c>
    </row>
    <row r="354">
      <c r="A354" s="2">
        <v>45279.0</v>
      </c>
      <c r="B354" s="5">
        <v>83588.0</v>
      </c>
      <c r="C354" s="3">
        <v>2448.0</v>
      </c>
      <c r="D354" s="4">
        <v>3894.11</v>
      </c>
      <c r="E354" s="3">
        <v>36.0</v>
      </c>
      <c r="F354" s="4">
        <v>5171.08</v>
      </c>
    </row>
    <row r="355">
      <c r="A355" s="2">
        <v>45280.0</v>
      </c>
      <c r="B355" s="5">
        <v>104190.0</v>
      </c>
      <c r="C355" s="3">
        <v>2719.0</v>
      </c>
      <c r="D355" s="4">
        <v>3562.36</v>
      </c>
      <c r="E355" s="3">
        <v>34.0</v>
      </c>
      <c r="F355" s="4">
        <v>5797.67</v>
      </c>
    </row>
    <row r="356">
      <c r="A356" s="2">
        <v>45281.0</v>
      </c>
      <c r="B356" s="5">
        <v>24959.0</v>
      </c>
      <c r="C356" s="3">
        <v>274.0</v>
      </c>
      <c r="D356" s="4">
        <v>381.62</v>
      </c>
      <c r="E356" s="3">
        <v>4.0</v>
      </c>
      <c r="F356" s="4">
        <v>832.87</v>
      </c>
    </row>
    <row r="357">
      <c r="A357" s="2">
        <v>45282.0</v>
      </c>
      <c r="B357" s="5">
        <v>67027.0</v>
      </c>
      <c r="C357" s="3">
        <v>1058.0</v>
      </c>
      <c r="D357" s="4">
        <v>1313.19</v>
      </c>
      <c r="E357" s="3">
        <v>15.0</v>
      </c>
      <c r="F357" s="4">
        <v>1810.3</v>
      </c>
    </row>
    <row r="358">
      <c r="A358" s="2">
        <v>45283.0</v>
      </c>
      <c r="B358" s="5">
        <v>70871.0</v>
      </c>
      <c r="C358" s="3">
        <v>757.0</v>
      </c>
      <c r="D358" s="4">
        <v>1145.06</v>
      </c>
      <c r="E358" s="3">
        <v>17.0</v>
      </c>
      <c r="F358" s="4">
        <v>3138.07</v>
      </c>
    </row>
    <row r="359">
      <c r="A359" s="2">
        <v>45284.0</v>
      </c>
      <c r="B359" s="5">
        <v>80032.0</v>
      </c>
      <c r="C359" s="3">
        <v>1728.0</v>
      </c>
      <c r="D359" s="4">
        <v>2264.58</v>
      </c>
      <c r="E359" s="3">
        <v>31.0</v>
      </c>
      <c r="F359" s="4">
        <v>4202.44</v>
      </c>
    </row>
    <row r="360">
      <c r="A360" s="2">
        <v>45285.0</v>
      </c>
      <c r="B360" s="5">
        <v>108915.0</v>
      </c>
      <c r="C360" s="3">
        <v>1317.0</v>
      </c>
      <c r="D360" s="4">
        <v>1436.48</v>
      </c>
      <c r="E360" s="3">
        <v>23.0</v>
      </c>
      <c r="F360" s="4">
        <v>2933.97</v>
      </c>
    </row>
    <row r="361">
      <c r="A361" s="2">
        <v>45286.0</v>
      </c>
      <c r="B361" s="5">
        <v>31756.0</v>
      </c>
      <c r="C361" s="3">
        <v>574.0</v>
      </c>
      <c r="D361" s="4">
        <v>695.48</v>
      </c>
      <c r="E361" s="3">
        <v>8.0</v>
      </c>
      <c r="F361" s="4">
        <v>1455.92</v>
      </c>
    </row>
    <row r="362">
      <c r="A362" s="2">
        <v>45287.0</v>
      </c>
      <c r="B362" s="5">
        <v>95173.0</v>
      </c>
      <c r="C362" s="3">
        <v>2150.0</v>
      </c>
      <c r="D362" s="4">
        <v>2516.56</v>
      </c>
      <c r="E362" s="3">
        <v>29.0</v>
      </c>
      <c r="F362" s="4">
        <v>4613.7</v>
      </c>
    </row>
    <row r="363">
      <c r="A363" s="2">
        <v>45288.0</v>
      </c>
      <c r="B363" s="5">
        <v>100035.0</v>
      </c>
      <c r="C363" s="3">
        <v>2290.0</v>
      </c>
      <c r="D363" s="4">
        <v>3894.35</v>
      </c>
      <c r="E363" s="3">
        <v>39.0</v>
      </c>
      <c r="F363" s="4">
        <v>6374.15</v>
      </c>
    </row>
    <row r="364">
      <c r="A364" s="2">
        <v>45289.0</v>
      </c>
      <c r="B364" s="5">
        <v>59646.0</v>
      </c>
      <c r="C364" s="3">
        <v>1067.0</v>
      </c>
      <c r="D364" s="4">
        <v>1163.75</v>
      </c>
      <c r="E364" s="3">
        <v>14.0</v>
      </c>
      <c r="F364" s="4">
        <v>1546.4</v>
      </c>
    </row>
    <row r="365">
      <c r="A365" s="2">
        <v>45290.0</v>
      </c>
      <c r="B365" s="5">
        <v>47837.0</v>
      </c>
      <c r="C365" s="3">
        <v>1166.0</v>
      </c>
      <c r="D365" s="4">
        <v>1750.83</v>
      </c>
      <c r="E365" s="3">
        <v>21.0</v>
      </c>
      <c r="F365" s="4">
        <v>3860.58</v>
      </c>
    </row>
    <row r="366">
      <c r="A366" s="2">
        <v>45291.0</v>
      </c>
      <c r="B366" s="5">
        <v>88825.0</v>
      </c>
      <c r="C366" s="3">
        <v>2184.0</v>
      </c>
      <c r="D366" s="4">
        <v>2425.44</v>
      </c>
      <c r="E366" s="3">
        <v>38.0</v>
      </c>
      <c r="F366" s="4">
        <v>5801.42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5"/>
    <col customWidth="1" min="11" max="11" width="20.63"/>
  </cols>
  <sheetData>
    <row r="1">
      <c r="A1" s="6" t="s">
        <v>6</v>
      </c>
      <c r="B1" s="7" t="s">
        <v>7</v>
      </c>
      <c r="C1" s="6" t="s">
        <v>8</v>
      </c>
      <c r="D1" s="8" t="s">
        <v>9</v>
      </c>
      <c r="E1" s="6" t="s">
        <v>10</v>
      </c>
      <c r="F1" s="7" t="s">
        <v>11</v>
      </c>
      <c r="G1" s="7" t="s">
        <v>12</v>
      </c>
      <c r="H1" s="6" t="s">
        <v>13</v>
      </c>
      <c r="I1" s="8" t="s">
        <v>14</v>
      </c>
      <c r="J1" s="6" t="s">
        <v>15</v>
      </c>
      <c r="K1" s="7" t="s">
        <v>16</v>
      </c>
      <c r="L1" s="9" t="s">
        <v>17</v>
      </c>
      <c r="M1" s="10" t="s">
        <v>18</v>
      </c>
      <c r="N1" s="11" t="s">
        <v>19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>
      <c r="A2" s="2">
        <v>44927.0</v>
      </c>
      <c r="B2" s="12">
        <f t="shared" ref="B2:B366" si="1">MONTH(A2)</f>
        <v>1</v>
      </c>
      <c r="C2" s="3">
        <v>26268.0</v>
      </c>
      <c r="D2" s="13">
        <f t="shared" ref="D2:D366" si="2">E2/C2</f>
        <v>0.01987208771</v>
      </c>
      <c r="E2" s="3">
        <v>522.0</v>
      </c>
      <c r="F2" s="14">
        <f t="shared" ref="F2:F366" si="3">H2/E2</f>
        <v>1.231724138</v>
      </c>
      <c r="G2" s="14">
        <f t="shared" ref="G2:G366" si="4">(H2/C2)*1000</f>
        <v>24.47693011</v>
      </c>
      <c r="H2" s="4">
        <v>642.96</v>
      </c>
      <c r="I2" s="13">
        <f t="shared" ref="I2:I366" si="5">J2/E2</f>
        <v>0.01724137931</v>
      </c>
      <c r="J2" s="3">
        <v>9.0</v>
      </c>
      <c r="K2" s="14">
        <f t="shared" ref="K2:K366" si="6">L2/J2</f>
        <v>153.8922222</v>
      </c>
      <c r="L2" s="4">
        <v>1385.03</v>
      </c>
      <c r="M2" s="15">
        <f t="shared" ref="M2:M366" si="7">L2/H2</f>
        <v>2.154146448</v>
      </c>
    </row>
    <row r="3">
      <c r="A3" s="2">
        <v>44928.0</v>
      </c>
      <c r="B3" s="12">
        <f t="shared" si="1"/>
        <v>1</v>
      </c>
      <c r="C3" s="3">
        <v>92883.0</v>
      </c>
      <c r="D3" s="13">
        <f t="shared" si="2"/>
        <v>0.01699988157</v>
      </c>
      <c r="E3" s="5">
        <v>1579.0</v>
      </c>
      <c r="F3" s="14">
        <f t="shared" si="3"/>
        <v>1.390006333</v>
      </c>
      <c r="G3" s="14">
        <f t="shared" si="4"/>
        <v>23.62994305</v>
      </c>
      <c r="H3" s="4">
        <v>2194.82</v>
      </c>
      <c r="I3" s="13">
        <f t="shared" si="5"/>
        <v>0.02343255225</v>
      </c>
      <c r="J3" s="3">
        <v>37.0</v>
      </c>
      <c r="K3" s="14">
        <f t="shared" si="6"/>
        <v>148.9135135</v>
      </c>
      <c r="L3" s="4">
        <v>5509.8</v>
      </c>
      <c r="M3" s="15">
        <f t="shared" si="7"/>
        <v>2.510365315</v>
      </c>
    </row>
    <row r="4">
      <c r="A4" s="2">
        <v>44929.0</v>
      </c>
      <c r="B4" s="12">
        <f t="shared" si="1"/>
        <v>1</v>
      </c>
      <c r="C4" s="3">
        <v>14955.0</v>
      </c>
      <c r="D4" s="13">
        <f t="shared" si="2"/>
        <v>0.0184553661</v>
      </c>
      <c r="E4" s="3">
        <v>276.0</v>
      </c>
      <c r="F4" s="14">
        <f t="shared" si="3"/>
        <v>1.132717391</v>
      </c>
      <c r="G4" s="14">
        <f t="shared" si="4"/>
        <v>20.90471414</v>
      </c>
      <c r="H4" s="4">
        <v>312.63</v>
      </c>
      <c r="I4" s="13">
        <f t="shared" si="5"/>
        <v>0.02173913043</v>
      </c>
      <c r="J4" s="3">
        <v>6.0</v>
      </c>
      <c r="K4" s="14">
        <f t="shared" si="6"/>
        <v>116.6983333</v>
      </c>
      <c r="L4" s="4">
        <v>700.19</v>
      </c>
      <c r="M4" s="15">
        <f t="shared" si="7"/>
        <v>2.239676295</v>
      </c>
    </row>
    <row r="5">
      <c r="A5" s="2">
        <v>44930.0</v>
      </c>
      <c r="B5" s="12">
        <f t="shared" si="1"/>
        <v>1</v>
      </c>
      <c r="C5" s="3">
        <v>41109.0</v>
      </c>
      <c r="D5" s="13">
        <f t="shared" si="2"/>
        <v>0.01707655258</v>
      </c>
      <c r="E5" s="3">
        <v>702.0</v>
      </c>
      <c r="F5" s="14">
        <f t="shared" si="3"/>
        <v>1.802464387</v>
      </c>
      <c r="G5" s="14">
        <f t="shared" si="4"/>
        <v>30.77987789</v>
      </c>
      <c r="H5" s="4">
        <v>1265.33</v>
      </c>
      <c r="I5" s="13">
        <f t="shared" si="5"/>
        <v>0.01851851852</v>
      </c>
      <c r="J5" s="3">
        <v>13.0</v>
      </c>
      <c r="K5" s="14">
        <f t="shared" si="6"/>
        <v>209.8507692</v>
      </c>
      <c r="L5" s="4">
        <v>2728.06</v>
      </c>
      <c r="M5" s="15">
        <f t="shared" si="7"/>
        <v>2.156006733</v>
      </c>
    </row>
    <row r="6">
      <c r="A6" s="2">
        <v>44931.0</v>
      </c>
      <c r="B6" s="12">
        <f t="shared" si="1"/>
        <v>1</v>
      </c>
      <c r="C6" s="3">
        <v>37989.0</v>
      </c>
      <c r="D6" s="13">
        <f t="shared" si="2"/>
        <v>0.01458316881</v>
      </c>
      <c r="E6" s="3">
        <v>554.0</v>
      </c>
      <c r="F6" s="14">
        <f t="shared" si="3"/>
        <v>1.44166065</v>
      </c>
      <c r="G6" s="14">
        <f t="shared" si="4"/>
        <v>21.02398063</v>
      </c>
      <c r="H6" s="4">
        <v>798.68</v>
      </c>
      <c r="I6" s="13">
        <f t="shared" si="5"/>
        <v>0.02346570397</v>
      </c>
      <c r="J6" s="3">
        <v>13.0</v>
      </c>
      <c r="K6" s="14">
        <f t="shared" si="6"/>
        <v>211.4069231</v>
      </c>
      <c r="L6" s="4">
        <v>2748.29</v>
      </c>
      <c r="M6" s="15">
        <f t="shared" si="7"/>
        <v>3.441040216</v>
      </c>
    </row>
    <row r="7">
      <c r="A7" s="2">
        <v>44932.0</v>
      </c>
      <c r="B7" s="12">
        <f t="shared" si="1"/>
        <v>1</v>
      </c>
      <c r="C7" s="3">
        <v>61008.0</v>
      </c>
      <c r="D7" s="13">
        <f t="shared" si="2"/>
        <v>0.01778455285</v>
      </c>
      <c r="E7" s="5">
        <v>1085.0</v>
      </c>
      <c r="F7" s="14">
        <f t="shared" si="3"/>
        <v>1.831585253</v>
      </c>
      <c r="G7" s="14">
        <f t="shared" si="4"/>
        <v>32.57392473</v>
      </c>
      <c r="H7" s="4">
        <v>1987.27</v>
      </c>
      <c r="I7" s="13">
        <f t="shared" si="5"/>
        <v>0.01474654378</v>
      </c>
      <c r="J7" s="3">
        <v>16.0</v>
      </c>
      <c r="K7" s="14">
        <f t="shared" si="6"/>
        <v>183.449375</v>
      </c>
      <c r="L7" s="4">
        <v>2935.19</v>
      </c>
      <c r="M7" s="15">
        <f t="shared" si="7"/>
        <v>1.47699608</v>
      </c>
    </row>
    <row r="8">
      <c r="A8" s="2">
        <v>44933.0</v>
      </c>
      <c r="B8" s="12">
        <f t="shared" si="1"/>
        <v>1</v>
      </c>
      <c r="C8" s="3">
        <v>45181.0</v>
      </c>
      <c r="D8" s="13">
        <f t="shared" si="2"/>
        <v>0.02757796419</v>
      </c>
      <c r="E8" s="5">
        <v>1246.0</v>
      </c>
      <c r="F8" s="14">
        <f t="shared" si="3"/>
        <v>1.010802568</v>
      </c>
      <c r="G8" s="14">
        <f t="shared" si="4"/>
        <v>27.87587703</v>
      </c>
      <c r="H8" s="4">
        <v>1259.46</v>
      </c>
      <c r="I8" s="13">
        <f t="shared" si="5"/>
        <v>0.02086677368</v>
      </c>
      <c r="J8" s="3">
        <v>26.0</v>
      </c>
      <c r="K8" s="14">
        <f t="shared" si="6"/>
        <v>199.4234615</v>
      </c>
      <c r="L8" s="4">
        <v>5185.01</v>
      </c>
      <c r="M8" s="15">
        <f t="shared" si="7"/>
        <v>4.116851667</v>
      </c>
    </row>
    <row r="9">
      <c r="A9" s="2">
        <v>44934.0</v>
      </c>
      <c r="B9" s="12">
        <f t="shared" si="1"/>
        <v>1</v>
      </c>
      <c r="C9" s="3">
        <v>39529.0</v>
      </c>
      <c r="D9" s="13">
        <f t="shared" si="2"/>
        <v>0.009992663614</v>
      </c>
      <c r="E9" s="3">
        <v>395.0</v>
      </c>
      <c r="F9" s="14">
        <f t="shared" si="3"/>
        <v>1.67121519</v>
      </c>
      <c r="G9" s="14">
        <f t="shared" si="4"/>
        <v>16.69989122</v>
      </c>
      <c r="H9" s="4">
        <v>660.13</v>
      </c>
      <c r="I9" s="13">
        <f t="shared" si="5"/>
        <v>0.02278481013</v>
      </c>
      <c r="J9" s="3">
        <v>9.0</v>
      </c>
      <c r="K9" s="14">
        <f t="shared" si="6"/>
        <v>159.2888889</v>
      </c>
      <c r="L9" s="4">
        <v>1433.6</v>
      </c>
      <c r="M9" s="15">
        <f t="shared" si="7"/>
        <v>2.171693454</v>
      </c>
    </row>
    <row r="10">
      <c r="A10" s="2">
        <v>44935.0</v>
      </c>
      <c r="B10" s="12">
        <f t="shared" si="1"/>
        <v>1</v>
      </c>
      <c r="C10" s="3">
        <v>84110.0</v>
      </c>
      <c r="D10" s="13">
        <f t="shared" si="2"/>
        <v>0.02049696826</v>
      </c>
      <c r="E10" s="5">
        <v>1724.0</v>
      </c>
      <c r="F10" s="14">
        <f t="shared" si="3"/>
        <v>1.360197216</v>
      </c>
      <c r="G10" s="14">
        <f t="shared" si="4"/>
        <v>27.87991915</v>
      </c>
      <c r="H10" s="4">
        <v>2344.98</v>
      </c>
      <c r="I10" s="13">
        <f t="shared" si="5"/>
        <v>0.01856148492</v>
      </c>
      <c r="J10" s="3">
        <v>32.0</v>
      </c>
      <c r="K10" s="14">
        <f t="shared" si="6"/>
        <v>191.4246875</v>
      </c>
      <c r="L10" s="4">
        <v>6125.59</v>
      </c>
      <c r="M10" s="15">
        <f t="shared" si="7"/>
        <v>2.612214177</v>
      </c>
    </row>
    <row r="11">
      <c r="A11" s="2">
        <v>44936.0</v>
      </c>
      <c r="B11" s="12">
        <f t="shared" si="1"/>
        <v>1</v>
      </c>
      <c r="C11" s="3">
        <v>70925.0</v>
      </c>
      <c r="D11" s="13">
        <f t="shared" si="2"/>
        <v>0.01849841382</v>
      </c>
      <c r="E11" s="5">
        <v>1312.0</v>
      </c>
      <c r="F11" s="14">
        <f t="shared" si="3"/>
        <v>1.770144817</v>
      </c>
      <c r="G11" s="14">
        <f t="shared" si="4"/>
        <v>32.74487134</v>
      </c>
      <c r="H11" s="4">
        <v>2322.43</v>
      </c>
      <c r="I11" s="13">
        <f t="shared" si="5"/>
        <v>0.01219512195</v>
      </c>
      <c r="J11" s="3">
        <v>16.0</v>
      </c>
      <c r="K11" s="14">
        <f t="shared" si="6"/>
        <v>193.741875</v>
      </c>
      <c r="L11" s="4">
        <v>3099.87</v>
      </c>
      <c r="M11" s="15">
        <f t="shared" si="7"/>
        <v>1.334752824</v>
      </c>
    </row>
    <row r="12">
      <c r="A12" s="2">
        <v>44937.0</v>
      </c>
      <c r="B12" s="12">
        <f t="shared" si="1"/>
        <v>1</v>
      </c>
      <c r="C12" s="3">
        <v>78307.0</v>
      </c>
      <c r="D12" s="13">
        <f t="shared" si="2"/>
        <v>0.009999106082</v>
      </c>
      <c r="E12" s="3">
        <v>783.0</v>
      </c>
      <c r="F12" s="14">
        <f t="shared" si="3"/>
        <v>1.810153257</v>
      </c>
      <c r="G12" s="14">
        <f t="shared" si="4"/>
        <v>18.09991444</v>
      </c>
      <c r="H12" s="4">
        <v>1417.35</v>
      </c>
      <c r="I12" s="13">
        <f t="shared" si="5"/>
        <v>0.02171136654</v>
      </c>
      <c r="J12" s="3">
        <v>17.0</v>
      </c>
      <c r="K12" s="14">
        <f t="shared" si="6"/>
        <v>185.6523529</v>
      </c>
      <c r="L12" s="4">
        <v>3156.09</v>
      </c>
      <c r="M12" s="15">
        <f t="shared" si="7"/>
        <v>2.226754154</v>
      </c>
    </row>
    <row r="13">
      <c r="A13" s="2">
        <v>44938.0</v>
      </c>
      <c r="B13" s="12">
        <f t="shared" si="1"/>
        <v>1</v>
      </c>
      <c r="C13" s="3">
        <v>70313.0</v>
      </c>
      <c r="D13" s="13">
        <f t="shared" si="2"/>
        <v>0.01799098318</v>
      </c>
      <c r="E13" s="5">
        <v>1265.0</v>
      </c>
      <c r="F13" s="14">
        <f t="shared" si="3"/>
        <v>1.710853755</v>
      </c>
      <c r="G13" s="14">
        <f t="shared" si="4"/>
        <v>30.77994112</v>
      </c>
      <c r="H13" s="4">
        <v>2164.23</v>
      </c>
      <c r="I13" s="13">
        <f t="shared" si="5"/>
        <v>0.01264822134</v>
      </c>
      <c r="J13" s="3">
        <v>16.0</v>
      </c>
      <c r="K13" s="14">
        <f t="shared" si="6"/>
        <v>194.40125</v>
      </c>
      <c r="L13" s="4">
        <v>3110.42</v>
      </c>
      <c r="M13" s="15">
        <f t="shared" si="7"/>
        <v>1.437194753</v>
      </c>
    </row>
    <row r="14">
      <c r="A14" s="2">
        <v>44939.0</v>
      </c>
      <c r="B14" s="12">
        <f t="shared" si="1"/>
        <v>1</v>
      </c>
      <c r="C14" s="3">
        <v>93757.0</v>
      </c>
      <c r="D14" s="13">
        <f t="shared" si="2"/>
        <v>0.01939055217</v>
      </c>
      <c r="E14" s="5">
        <v>1818.0</v>
      </c>
      <c r="F14" s="14">
        <f t="shared" si="3"/>
        <v>1.200583058</v>
      </c>
      <c r="G14" s="14">
        <f t="shared" si="4"/>
        <v>23.27996843</v>
      </c>
      <c r="H14" s="4">
        <v>2182.66</v>
      </c>
      <c r="I14" s="13">
        <f t="shared" si="5"/>
        <v>0.01485148515</v>
      </c>
      <c r="J14" s="3">
        <v>27.0</v>
      </c>
      <c r="K14" s="14">
        <f t="shared" si="6"/>
        <v>133.257037</v>
      </c>
      <c r="L14" s="4">
        <v>3597.94</v>
      </c>
      <c r="M14" s="15">
        <f t="shared" si="7"/>
        <v>1.648419818</v>
      </c>
    </row>
    <row r="15">
      <c r="A15" s="2">
        <v>44940.0</v>
      </c>
      <c r="B15" s="12">
        <f t="shared" si="1"/>
        <v>1</v>
      </c>
      <c r="C15" s="3">
        <v>69770.0</v>
      </c>
      <c r="D15" s="13">
        <f t="shared" si="2"/>
        <v>0.01828866275</v>
      </c>
      <c r="E15" s="5">
        <v>1276.0</v>
      </c>
      <c r="F15" s="14">
        <f t="shared" si="3"/>
        <v>1.841136364</v>
      </c>
      <c r="G15" s="14">
        <f t="shared" si="4"/>
        <v>33.67192203</v>
      </c>
      <c r="H15" s="4">
        <v>2349.29</v>
      </c>
      <c r="I15" s="13">
        <f t="shared" si="5"/>
        <v>0.02037617555</v>
      </c>
      <c r="J15" s="3">
        <v>26.0</v>
      </c>
      <c r="K15" s="14">
        <f t="shared" si="6"/>
        <v>136.1253846</v>
      </c>
      <c r="L15" s="4">
        <v>3539.26</v>
      </c>
      <c r="M15" s="15">
        <f t="shared" si="7"/>
        <v>1.506523247</v>
      </c>
    </row>
    <row r="16">
      <c r="A16" s="2">
        <v>44941.0</v>
      </c>
      <c r="B16" s="12">
        <f t="shared" si="1"/>
        <v>1</v>
      </c>
      <c r="C16" s="3">
        <v>69622.0</v>
      </c>
      <c r="D16" s="13">
        <f t="shared" si="2"/>
        <v>0.02698859556</v>
      </c>
      <c r="E16" s="5">
        <v>1879.0</v>
      </c>
      <c r="F16" s="14">
        <f t="shared" si="3"/>
        <v>1.370574774</v>
      </c>
      <c r="G16" s="14">
        <f t="shared" si="4"/>
        <v>36.98988825</v>
      </c>
      <c r="H16" s="4">
        <v>2575.31</v>
      </c>
      <c r="I16" s="13">
        <f t="shared" si="5"/>
        <v>0.01330494944</v>
      </c>
      <c r="J16" s="3">
        <v>25.0</v>
      </c>
      <c r="K16" s="14">
        <f t="shared" si="6"/>
        <v>106.0052</v>
      </c>
      <c r="L16" s="4">
        <v>2650.13</v>
      </c>
      <c r="M16" s="15">
        <f t="shared" si="7"/>
        <v>1.029052813</v>
      </c>
    </row>
    <row r="17">
      <c r="A17" s="2">
        <v>44942.0</v>
      </c>
      <c r="B17" s="12">
        <f t="shared" si="1"/>
        <v>1</v>
      </c>
      <c r="C17" s="3">
        <v>20474.0</v>
      </c>
      <c r="D17" s="13">
        <f t="shared" si="2"/>
        <v>0.0284751392</v>
      </c>
      <c r="E17" s="3">
        <v>583.0</v>
      </c>
      <c r="F17" s="14">
        <f t="shared" si="3"/>
        <v>2.001732419</v>
      </c>
      <c r="G17" s="14">
        <f t="shared" si="4"/>
        <v>56.99960926</v>
      </c>
      <c r="H17" s="4">
        <v>1167.01</v>
      </c>
      <c r="I17" s="13">
        <f t="shared" si="5"/>
        <v>0.01886792453</v>
      </c>
      <c r="J17" s="3">
        <v>11.0</v>
      </c>
      <c r="K17" s="14">
        <f t="shared" si="6"/>
        <v>133.0927273</v>
      </c>
      <c r="L17" s="4">
        <v>1464.02</v>
      </c>
      <c r="M17" s="15">
        <f t="shared" si="7"/>
        <v>1.254505103</v>
      </c>
    </row>
    <row r="18">
      <c r="A18" s="2">
        <v>44943.0</v>
      </c>
      <c r="B18" s="12">
        <f t="shared" si="1"/>
        <v>1</v>
      </c>
      <c r="C18" s="3">
        <v>99778.0</v>
      </c>
      <c r="D18" s="13">
        <f t="shared" si="2"/>
        <v>0.02239972739</v>
      </c>
      <c r="E18" s="5">
        <v>2235.0</v>
      </c>
      <c r="F18" s="14">
        <f t="shared" si="3"/>
        <v>1.740017897</v>
      </c>
      <c r="G18" s="14">
        <f t="shared" si="4"/>
        <v>38.97592656</v>
      </c>
      <c r="H18" s="4">
        <v>3888.94</v>
      </c>
      <c r="I18" s="13">
        <f t="shared" si="5"/>
        <v>0.02371364653</v>
      </c>
      <c r="J18" s="3">
        <v>53.0</v>
      </c>
      <c r="K18" s="14">
        <f t="shared" si="6"/>
        <v>161.9339623</v>
      </c>
      <c r="L18" s="4">
        <v>8582.5</v>
      </c>
      <c r="M18" s="15">
        <f t="shared" si="7"/>
        <v>2.206899566</v>
      </c>
    </row>
    <row r="19">
      <c r="A19" s="2">
        <v>44944.0</v>
      </c>
      <c r="B19" s="12">
        <f t="shared" si="1"/>
        <v>1</v>
      </c>
      <c r="C19" s="3">
        <v>61824.0</v>
      </c>
      <c r="D19" s="13">
        <f t="shared" si="2"/>
        <v>0.0261872412</v>
      </c>
      <c r="E19" s="5">
        <v>1619.0</v>
      </c>
      <c r="F19" s="14">
        <f t="shared" si="3"/>
        <v>1.200580605</v>
      </c>
      <c r="G19" s="14">
        <f t="shared" si="4"/>
        <v>31.43989389</v>
      </c>
      <c r="H19" s="4">
        <v>1943.74</v>
      </c>
      <c r="I19" s="13">
        <f t="shared" si="5"/>
        <v>0.01358863496</v>
      </c>
      <c r="J19" s="3">
        <v>22.0</v>
      </c>
      <c r="K19" s="14">
        <f t="shared" si="6"/>
        <v>151.5681818</v>
      </c>
      <c r="L19" s="4">
        <v>3334.5</v>
      </c>
      <c r="M19" s="15">
        <f t="shared" si="7"/>
        <v>1.715507218</v>
      </c>
    </row>
    <row r="20">
      <c r="A20" s="2">
        <v>44945.0</v>
      </c>
      <c r="B20" s="12">
        <f t="shared" si="1"/>
        <v>1</v>
      </c>
      <c r="C20" s="3">
        <v>66138.0</v>
      </c>
      <c r="D20" s="13">
        <f t="shared" si="2"/>
        <v>0.01168768333</v>
      </c>
      <c r="E20" s="3">
        <v>773.0</v>
      </c>
      <c r="F20" s="14">
        <f t="shared" si="3"/>
        <v>1.651733506</v>
      </c>
      <c r="G20" s="14">
        <f t="shared" si="4"/>
        <v>19.30493816</v>
      </c>
      <c r="H20" s="4">
        <v>1276.79</v>
      </c>
      <c r="I20" s="13">
        <f t="shared" si="5"/>
        <v>0.02328589909</v>
      </c>
      <c r="J20" s="3">
        <v>18.0</v>
      </c>
      <c r="K20" s="14">
        <f t="shared" si="6"/>
        <v>137.3261111</v>
      </c>
      <c r="L20" s="4">
        <v>2471.87</v>
      </c>
      <c r="M20" s="15">
        <f t="shared" si="7"/>
        <v>1.936003571</v>
      </c>
    </row>
    <row r="21">
      <c r="A21" s="2">
        <v>44946.0</v>
      </c>
      <c r="B21" s="12">
        <f t="shared" si="1"/>
        <v>1</v>
      </c>
      <c r="C21" s="3">
        <v>72950.0</v>
      </c>
      <c r="D21" s="13">
        <f t="shared" si="2"/>
        <v>0.01409184373</v>
      </c>
      <c r="E21" s="5">
        <v>1028.0</v>
      </c>
      <c r="F21" s="14">
        <f t="shared" si="3"/>
        <v>1.240710117</v>
      </c>
      <c r="G21" s="14">
        <f t="shared" si="4"/>
        <v>17.48389308</v>
      </c>
      <c r="H21" s="4">
        <v>1275.45</v>
      </c>
      <c r="I21" s="13">
        <f t="shared" si="5"/>
        <v>0.01556420233</v>
      </c>
      <c r="J21" s="3">
        <v>16.0</v>
      </c>
      <c r="K21" s="14">
        <f t="shared" si="6"/>
        <v>202.38875</v>
      </c>
      <c r="L21" s="4">
        <v>3238.22</v>
      </c>
      <c r="M21" s="15">
        <f t="shared" si="7"/>
        <v>2.538884315</v>
      </c>
    </row>
    <row r="22">
      <c r="A22" s="2">
        <v>44947.0</v>
      </c>
      <c r="B22" s="12">
        <f t="shared" si="1"/>
        <v>1</v>
      </c>
      <c r="C22" s="3">
        <v>69746.0</v>
      </c>
      <c r="D22" s="13">
        <f t="shared" si="2"/>
        <v>0.02169300032</v>
      </c>
      <c r="E22" s="5">
        <v>1513.0</v>
      </c>
      <c r="F22" s="14">
        <f t="shared" si="3"/>
        <v>1.610515532</v>
      </c>
      <c r="G22" s="14">
        <f t="shared" si="4"/>
        <v>34.93691394</v>
      </c>
      <c r="H22" s="4">
        <v>2436.71</v>
      </c>
      <c r="I22" s="13">
        <f t="shared" si="5"/>
        <v>0.01784534038</v>
      </c>
      <c r="J22" s="3">
        <v>27.0</v>
      </c>
      <c r="K22" s="14">
        <f t="shared" si="6"/>
        <v>157.1111111</v>
      </c>
      <c r="L22" s="4">
        <v>4242.0</v>
      </c>
      <c r="M22" s="15">
        <f t="shared" si="7"/>
        <v>1.740871913</v>
      </c>
    </row>
    <row r="23">
      <c r="A23" s="2">
        <v>44948.0</v>
      </c>
      <c r="B23" s="12">
        <f t="shared" si="1"/>
        <v>1</v>
      </c>
      <c r="C23" s="3">
        <v>41036.0</v>
      </c>
      <c r="D23" s="13">
        <f t="shared" si="2"/>
        <v>0.01237937421</v>
      </c>
      <c r="E23" s="3">
        <v>508.0</v>
      </c>
      <c r="F23" s="14">
        <f t="shared" si="3"/>
        <v>1.402322835</v>
      </c>
      <c r="G23" s="14">
        <f t="shared" si="4"/>
        <v>17.35987913</v>
      </c>
      <c r="H23" s="4">
        <v>712.38</v>
      </c>
      <c r="I23" s="13">
        <f t="shared" si="5"/>
        <v>0.01968503937</v>
      </c>
      <c r="J23" s="3">
        <v>10.0</v>
      </c>
      <c r="K23" s="14">
        <f t="shared" si="6"/>
        <v>120.5</v>
      </c>
      <c r="L23" s="4">
        <v>1205.0</v>
      </c>
      <c r="M23" s="15">
        <f t="shared" si="7"/>
        <v>1.691512957</v>
      </c>
    </row>
    <row r="24">
      <c r="A24" s="2">
        <v>44949.0</v>
      </c>
      <c r="B24" s="12">
        <f t="shared" si="1"/>
        <v>1</v>
      </c>
      <c r="C24" s="3">
        <v>12284.0</v>
      </c>
      <c r="D24" s="13">
        <f t="shared" si="2"/>
        <v>0.01294366656</v>
      </c>
      <c r="E24" s="3">
        <v>159.0</v>
      </c>
      <c r="F24" s="14">
        <f t="shared" si="3"/>
        <v>1.014339623</v>
      </c>
      <c r="G24" s="14">
        <f t="shared" si="4"/>
        <v>13.12927385</v>
      </c>
      <c r="H24" s="4">
        <v>161.28</v>
      </c>
      <c r="I24" s="13">
        <f t="shared" si="5"/>
        <v>0.01886792453</v>
      </c>
      <c r="J24" s="3">
        <v>3.0</v>
      </c>
      <c r="K24" s="14">
        <f t="shared" si="6"/>
        <v>172.7433333</v>
      </c>
      <c r="L24" s="4">
        <v>518.23</v>
      </c>
      <c r="M24" s="15">
        <f t="shared" si="7"/>
        <v>3.213231647</v>
      </c>
    </row>
    <row r="25">
      <c r="A25" s="2">
        <v>44950.0</v>
      </c>
      <c r="B25" s="12">
        <f t="shared" si="1"/>
        <v>1</v>
      </c>
      <c r="C25" s="3">
        <v>67438.0</v>
      </c>
      <c r="D25" s="13">
        <f t="shared" si="2"/>
        <v>0.01688958747</v>
      </c>
      <c r="E25" s="5">
        <v>1139.0</v>
      </c>
      <c r="F25" s="14">
        <f t="shared" si="3"/>
        <v>1.520930641</v>
      </c>
      <c r="G25" s="14">
        <f t="shared" si="4"/>
        <v>25.6878911</v>
      </c>
      <c r="H25" s="4">
        <v>1732.34</v>
      </c>
      <c r="I25" s="13">
        <f t="shared" si="5"/>
        <v>0.02107111501</v>
      </c>
      <c r="J25" s="3">
        <v>24.0</v>
      </c>
      <c r="K25" s="14">
        <f t="shared" si="6"/>
        <v>193.2933333</v>
      </c>
      <c r="L25" s="4">
        <v>4639.04</v>
      </c>
      <c r="M25" s="15">
        <f t="shared" si="7"/>
        <v>2.677903876</v>
      </c>
    </row>
    <row r="26">
      <c r="A26" s="2">
        <v>44951.0</v>
      </c>
      <c r="B26" s="12">
        <f t="shared" si="1"/>
        <v>1</v>
      </c>
      <c r="C26" s="3">
        <v>47354.0</v>
      </c>
      <c r="D26" s="13">
        <f t="shared" si="2"/>
        <v>0.02608016218</v>
      </c>
      <c r="E26" s="5">
        <v>1235.0</v>
      </c>
      <c r="F26" s="14">
        <f t="shared" si="3"/>
        <v>1.941473684</v>
      </c>
      <c r="G26" s="14">
        <f t="shared" si="4"/>
        <v>50.63394856</v>
      </c>
      <c r="H26" s="4">
        <v>2397.72</v>
      </c>
      <c r="I26" s="13">
        <f t="shared" si="5"/>
        <v>0.02267206478</v>
      </c>
      <c r="J26" s="3">
        <v>28.0</v>
      </c>
      <c r="K26" s="14">
        <f t="shared" si="6"/>
        <v>179.6967857</v>
      </c>
      <c r="L26" s="4">
        <v>5031.51</v>
      </c>
      <c r="M26" s="15">
        <f t="shared" si="7"/>
        <v>2.098456033</v>
      </c>
    </row>
    <row r="27">
      <c r="A27" s="2">
        <v>44952.0</v>
      </c>
      <c r="B27" s="12">
        <f t="shared" si="1"/>
        <v>1</v>
      </c>
      <c r="C27" s="3">
        <v>28310.0</v>
      </c>
      <c r="D27" s="13">
        <f t="shared" si="2"/>
        <v>0.01137407277</v>
      </c>
      <c r="E27" s="3">
        <v>322.0</v>
      </c>
      <c r="F27" s="14">
        <f t="shared" si="3"/>
        <v>1.834161491</v>
      </c>
      <c r="G27" s="14">
        <f t="shared" si="4"/>
        <v>20.86188626</v>
      </c>
      <c r="H27" s="4">
        <v>590.6</v>
      </c>
      <c r="I27" s="13">
        <f t="shared" si="5"/>
        <v>0.01863354037</v>
      </c>
      <c r="J27" s="3">
        <v>6.0</v>
      </c>
      <c r="K27" s="14">
        <f t="shared" si="6"/>
        <v>160.9366667</v>
      </c>
      <c r="L27" s="4">
        <v>965.62</v>
      </c>
      <c r="M27" s="15">
        <f t="shared" si="7"/>
        <v>1.634981375</v>
      </c>
    </row>
    <row r="28">
      <c r="A28" s="2">
        <v>44953.0</v>
      </c>
      <c r="B28" s="12">
        <f t="shared" si="1"/>
        <v>1</v>
      </c>
      <c r="C28" s="3">
        <v>25310.0</v>
      </c>
      <c r="D28" s="13">
        <f t="shared" si="2"/>
        <v>0.01556696958</v>
      </c>
      <c r="E28" s="3">
        <v>394.0</v>
      </c>
      <c r="F28" s="14">
        <f t="shared" si="3"/>
        <v>1.924060914</v>
      </c>
      <c r="G28" s="14">
        <f t="shared" si="4"/>
        <v>29.95179771</v>
      </c>
      <c r="H28" s="4">
        <v>758.08</v>
      </c>
      <c r="I28" s="13">
        <f t="shared" si="5"/>
        <v>0.01776649746</v>
      </c>
      <c r="J28" s="3">
        <v>7.0</v>
      </c>
      <c r="K28" s="14">
        <f t="shared" si="6"/>
        <v>185.81</v>
      </c>
      <c r="L28" s="4">
        <v>1300.67</v>
      </c>
      <c r="M28" s="15">
        <f t="shared" si="7"/>
        <v>1.715742402</v>
      </c>
    </row>
    <row r="29">
      <c r="A29" s="2">
        <v>44954.0</v>
      </c>
      <c r="B29" s="12">
        <f t="shared" si="1"/>
        <v>1</v>
      </c>
      <c r="C29" s="3">
        <v>73481.0</v>
      </c>
      <c r="D29" s="13">
        <f t="shared" si="2"/>
        <v>0.009988976742</v>
      </c>
      <c r="E29" s="3">
        <v>734.0</v>
      </c>
      <c r="F29" s="14">
        <f t="shared" si="3"/>
        <v>1.691852861</v>
      </c>
      <c r="G29" s="14">
        <f t="shared" si="4"/>
        <v>16.89987888</v>
      </c>
      <c r="H29" s="4">
        <v>1241.82</v>
      </c>
      <c r="I29" s="13">
        <f t="shared" si="5"/>
        <v>0.02452316076</v>
      </c>
      <c r="J29" s="3">
        <v>18.0</v>
      </c>
      <c r="K29" s="14">
        <f t="shared" si="6"/>
        <v>174.7377778</v>
      </c>
      <c r="L29" s="4">
        <v>3145.28</v>
      </c>
      <c r="M29" s="15">
        <f t="shared" si="7"/>
        <v>2.532798634</v>
      </c>
    </row>
    <row r="30">
      <c r="A30" s="2">
        <v>44955.0</v>
      </c>
      <c r="B30" s="12">
        <f t="shared" si="1"/>
        <v>1</v>
      </c>
      <c r="C30" s="3">
        <v>27514.0</v>
      </c>
      <c r="D30" s="13">
        <f t="shared" si="2"/>
        <v>0.02667732791</v>
      </c>
      <c r="E30" s="3">
        <v>734.0</v>
      </c>
      <c r="F30" s="14">
        <f t="shared" si="3"/>
        <v>1.201008174</v>
      </c>
      <c r="G30" s="14">
        <f t="shared" si="4"/>
        <v>32.03968889</v>
      </c>
      <c r="H30" s="4">
        <v>881.54</v>
      </c>
      <c r="I30" s="13">
        <f t="shared" si="5"/>
        <v>0.01771117166</v>
      </c>
      <c r="J30" s="3">
        <v>13.0</v>
      </c>
      <c r="K30" s="14">
        <f t="shared" si="6"/>
        <v>208.1753846</v>
      </c>
      <c r="L30" s="4">
        <v>2706.28</v>
      </c>
      <c r="M30" s="15">
        <f t="shared" si="7"/>
        <v>3.069945777</v>
      </c>
    </row>
    <row r="31">
      <c r="A31" s="2">
        <v>44956.0</v>
      </c>
      <c r="B31" s="12">
        <f t="shared" si="1"/>
        <v>1</v>
      </c>
      <c r="C31" s="3">
        <v>51191.0</v>
      </c>
      <c r="D31" s="13">
        <f t="shared" si="2"/>
        <v>0.02918481764</v>
      </c>
      <c r="E31" s="5">
        <v>1494.0</v>
      </c>
      <c r="F31" s="14">
        <f t="shared" si="3"/>
        <v>1.560809906</v>
      </c>
      <c r="G31" s="14">
        <f t="shared" si="4"/>
        <v>45.55195249</v>
      </c>
      <c r="H31" s="4">
        <v>2331.85</v>
      </c>
      <c r="I31" s="13">
        <f t="shared" si="5"/>
        <v>0.01673360107</v>
      </c>
      <c r="J31" s="3">
        <v>25.0</v>
      </c>
      <c r="K31" s="14">
        <f t="shared" si="6"/>
        <v>132.9156</v>
      </c>
      <c r="L31" s="4">
        <v>3322.89</v>
      </c>
      <c r="M31" s="15">
        <f t="shared" si="7"/>
        <v>1.425001608</v>
      </c>
    </row>
    <row r="32">
      <c r="A32" s="2">
        <v>44957.0</v>
      </c>
      <c r="B32" s="12">
        <f t="shared" si="1"/>
        <v>1</v>
      </c>
      <c r="C32" s="3">
        <v>79805.0</v>
      </c>
      <c r="D32" s="13">
        <f t="shared" si="2"/>
        <v>0.01999874695</v>
      </c>
      <c r="E32" s="5">
        <v>1596.0</v>
      </c>
      <c r="F32" s="14">
        <f t="shared" si="3"/>
        <v>1.560093985</v>
      </c>
      <c r="G32" s="14">
        <f t="shared" si="4"/>
        <v>31.19992482</v>
      </c>
      <c r="H32" s="4">
        <v>2489.91</v>
      </c>
      <c r="I32" s="13">
        <f t="shared" si="5"/>
        <v>0.01879699248</v>
      </c>
      <c r="J32" s="3">
        <v>30.0</v>
      </c>
      <c r="K32" s="14">
        <f t="shared" si="6"/>
        <v>163.079</v>
      </c>
      <c r="L32" s="4">
        <v>4892.37</v>
      </c>
      <c r="M32" s="15">
        <f t="shared" si="7"/>
        <v>1.964878249</v>
      </c>
    </row>
    <row r="33">
      <c r="A33" s="2">
        <v>44958.0</v>
      </c>
      <c r="B33" s="12">
        <f t="shared" si="1"/>
        <v>2</v>
      </c>
      <c r="C33" s="3">
        <v>98345.0</v>
      </c>
      <c r="D33" s="13">
        <f t="shared" si="2"/>
        <v>0.02699679699</v>
      </c>
      <c r="E33" s="5">
        <v>2655.0</v>
      </c>
      <c r="F33" s="14">
        <f t="shared" si="3"/>
        <v>1.140131827</v>
      </c>
      <c r="G33" s="14">
        <f t="shared" si="4"/>
        <v>30.77990747</v>
      </c>
      <c r="H33" s="4">
        <v>3027.05</v>
      </c>
      <c r="I33" s="13">
        <f t="shared" si="5"/>
        <v>0.02071563089</v>
      </c>
      <c r="J33" s="3">
        <v>55.0</v>
      </c>
      <c r="K33" s="14">
        <f t="shared" si="6"/>
        <v>137.8832727</v>
      </c>
      <c r="L33" s="4">
        <v>7583.58</v>
      </c>
      <c r="M33" s="15">
        <f t="shared" si="7"/>
        <v>2.505270808</v>
      </c>
    </row>
    <row r="34">
      <c r="A34" s="2">
        <v>44959.0</v>
      </c>
      <c r="B34" s="12">
        <f t="shared" si="1"/>
        <v>2</v>
      </c>
      <c r="C34" s="3">
        <v>32308.0</v>
      </c>
      <c r="D34" s="13">
        <f t="shared" si="2"/>
        <v>0.01287606785</v>
      </c>
      <c r="E34" s="3">
        <v>416.0</v>
      </c>
      <c r="F34" s="14">
        <f t="shared" si="3"/>
        <v>1.823365385</v>
      </c>
      <c r="G34" s="14">
        <f t="shared" si="4"/>
        <v>23.4777764</v>
      </c>
      <c r="H34" s="4">
        <v>758.52</v>
      </c>
      <c r="I34" s="13">
        <f t="shared" si="5"/>
        <v>0.01923076923</v>
      </c>
      <c r="J34" s="3">
        <v>8.0</v>
      </c>
      <c r="K34" s="14">
        <f t="shared" si="6"/>
        <v>193.72125</v>
      </c>
      <c r="L34" s="4">
        <v>1549.77</v>
      </c>
      <c r="M34" s="15">
        <f t="shared" si="7"/>
        <v>2.043149818</v>
      </c>
    </row>
    <row r="35">
      <c r="A35" s="2">
        <v>44960.0</v>
      </c>
      <c r="B35" s="12">
        <f t="shared" si="1"/>
        <v>2</v>
      </c>
      <c r="C35" s="3">
        <v>25676.0</v>
      </c>
      <c r="D35" s="13">
        <f t="shared" si="2"/>
        <v>0.02449758529</v>
      </c>
      <c r="E35" s="3">
        <v>629.0</v>
      </c>
      <c r="F35" s="14">
        <f t="shared" si="3"/>
        <v>1.180111288</v>
      </c>
      <c r="G35" s="14">
        <f t="shared" si="4"/>
        <v>28.90987693</v>
      </c>
      <c r="H35" s="4">
        <v>742.29</v>
      </c>
      <c r="I35" s="13">
        <f t="shared" si="5"/>
        <v>0.02384737679</v>
      </c>
      <c r="J35" s="3">
        <v>15.0</v>
      </c>
      <c r="K35" s="14">
        <f t="shared" si="6"/>
        <v>155.378</v>
      </c>
      <c r="L35" s="4">
        <v>2330.67</v>
      </c>
      <c r="M35" s="15">
        <f t="shared" si="7"/>
        <v>3.13983753</v>
      </c>
    </row>
    <row r="36">
      <c r="A36" s="2">
        <v>44961.0</v>
      </c>
      <c r="B36" s="12">
        <f t="shared" si="1"/>
        <v>2</v>
      </c>
      <c r="C36" s="3">
        <v>14162.0</v>
      </c>
      <c r="D36" s="13">
        <f t="shared" si="2"/>
        <v>0.02888010168</v>
      </c>
      <c r="E36" s="3">
        <v>409.0</v>
      </c>
      <c r="F36" s="14">
        <f t="shared" si="3"/>
        <v>1.100733496</v>
      </c>
      <c r="G36" s="14">
        <f t="shared" si="4"/>
        <v>31.7892953</v>
      </c>
      <c r="H36" s="4">
        <v>450.2</v>
      </c>
      <c r="I36" s="13">
        <f t="shared" si="5"/>
        <v>0.01711491443</v>
      </c>
      <c r="J36" s="3">
        <v>7.0</v>
      </c>
      <c r="K36" s="14">
        <f t="shared" si="6"/>
        <v>141.6114286</v>
      </c>
      <c r="L36" s="4">
        <v>991.28</v>
      </c>
      <c r="M36" s="15">
        <f t="shared" si="7"/>
        <v>2.201865837</v>
      </c>
    </row>
    <row r="37">
      <c r="A37" s="2">
        <v>44962.0</v>
      </c>
      <c r="B37" s="12">
        <f t="shared" si="1"/>
        <v>2</v>
      </c>
      <c r="C37" s="3">
        <v>75090.0</v>
      </c>
      <c r="D37" s="13">
        <f t="shared" si="2"/>
        <v>0.02748701558</v>
      </c>
      <c r="E37" s="5">
        <v>2064.0</v>
      </c>
      <c r="F37" s="14">
        <f t="shared" si="3"/>
        <v>1.780838178</v>
      </c>
      <c r="G37" s="14">
        <f t="shared" si="4"/>
        <v>48.94992675</v>
      </c>
      <c r="H37" s="4">
        <v>3675.65</v>
      </c>
      <c r="I37" s="13">
        <f t="shared" si="5"/>
        <v>0.01598837209</v>
      </c>
      <c r="J37" s="3">
        <v>33.0</v>
      </c>
      <c r="K37" s="14">
        <f t="shared" si="6"/>
        <v>202.1672727</v>
      </c>
      <c r="L37" s="4">
        <v>6671.52</v>
      </c>
      <c r="M37" s="15">
        <f t="shared" si="7"/>
        <v>1.815058561</v>
      </c>
    </row>
    <row r="38">
      <c r="A38" s="2">
        <v>44963.0</v>
      </c>
      <c r="B38" s="12">
        <f t="shared" si="1"/>
        <v>2</v>
      </c>
      <c r="C38" s="3">
        <v>90438.0</v>
      </c>
      <c r="D38" s="13">
        <f t="shared" si="2"/>
        <v>0.01109047082</v>
      </c>
      <c r="E38" s="5">
        <v>1003.0</v>
      </c>
      <c r="F38" s="14">
        <f t="shared" si="3"/>
        <v>1.391186441</v>
      </c>
      <c r="G38" s="14">
        <f t="shared" si="4"/>
        <v>15.42891263</v>
      </c>
      <c r="H38" s="4">
        <v>1395.36</v>
      </c>
      <c r="I38" s="13">
        <f t="shared" si="5"/>
        <v>0.01994017946</v>
      </c>
      <c r="J38" s="3">
        <v>20.0</v>
      </c>
      <c r="K38" s="14">
        <f t="shared" si="6"/>
        <v>118.6265</v>
      </c>
      <c r="L38" s="4">
        <v>2372.53</v>
      </c>
      <c r="M38" s="15">
        <f t="shared" si="7"/>
        <v>1.700299564</v>
      </c>
    </row>
    <row r="39">
      <c r="A39" s="2">
        <v>44964.0</v>
      </c>
      <c r="B39" s="12">
        <f t="shared" si="1"/>
        <v>2</v>
      </c>
      <c r="C39" s="3">
        <v>85990.0</v>
      </c>
      <c r="D39" s="13">
        <f t="shared" si="2"/>
        <v>0.02568903361</v>
      </c>
      <c r="E39" s="5">
        <v>2209.0</v>
      </c>
      <c r="F39" s="14">
        <f t="shared" si="3"/>
        <v>1.60067904</v>
      </c>
      <c r="G39" s="14">
        <f t="shared" si="4"/>
        <v>41.11989766</v>
      </c>
      <c r="H39" s="4">
        <v>3535.9</v>
      </c>
      <c r="I39" s="13">
        <f t="shared" si="5"/>
        <v>0.01765504753</v>
      </c>
      <c r="J39" s="3">
        <v>39.0</v>
      </c>
      <c r="K39" s="14">
        <f t="shared" si="6"/>
        <v>160.2605128</v>
      </c>
      <c r="L39" s="4">
        <v>6250.16</v>
      </c>
      <c r="M39" s="15">
        <f t="shared" si="7"/>
        <v>1.767629175</v>
      </c>
    </row>
    <row r="40">
      <c r="A40" s="2">
        <v>44965.0</v>
      </c>
      <c r="B40" s="12">
        <f t="shared" si="1"/>
        <v>2</v>
      </c>
      <c r="C40" s="3">
        <v>81784.0</v>
      </c>
      <c r="D40" s="13">
        <f t="shared" si="2"/>
        <v>0.0108945515</v>
      </c>
      <c r="E40" s="3">
        <v>891.0</v>
      </c>
      <c r="F40" s="14">
        <f t="shared" si="3"/>
        <v>1.080538721</v>
      </c>
      <c r="G40" s="14">
        <f t="shared" si="4"/>
        <v>11.77198474</v>
      </c>
      <c r="H40" s="4">
        <v>962.76</v>
      </c>
      <c r="I40" s="13">
        <f t="shared" si="5"/>
        <v>0.01795735129</v>
      </c>
      <c r="J40" s="3">
        <v>16.0</v>
      </c>
      <c r="K40" s="14">
        <f t="shared" si="6"/>
        <v>190.596875</v>
      </c>
      <c r="L40" s="4">
        <v>3049.55</v>
      </c>
      <c r="M40" s="15">
        <f t="shared" si="7"/>
        <v>3.167507998</v>
      </c>
    </row>
    <row r="41">
      <c r="A41" s="2">
        <v>44966.0</v>
      </c>
      <c r="B41" s="12">
        <f t="shared" si="1"/>
        <v>2</v>
      </c>
      <c r="C41" s="3">
        <v>58169.0</v>
      </c>
      <c r="D41" s="13">
        <f t="shared" si="2"/>
        <v>0.02659492169</v>
      </c>
      <c r="E41" s="5">
        <v>1547.0</v>
      </c>
      <c r="F41" s="14">
        <f t="shared" si="3"/>
        <v>1.950368455</v>
      </c>
      <c r="G41" s="14">
        <f t="shared" si="4"/>
        <v>51.86989634</v>
      </c>
      <c r="H41" s="4">
        <v>3017.22</v>
      </c>
      <c r="I41" s="13">
        <f t="shared" si="5"/>
        <v>0.01422107304</v>
      </c>
      <c r="J41" s="3">
        <v>22.0</v>
      </c>
      <c r="K41" s="14">
        <f t="shared" si="6"/>
        <v>119.5072727</v>
      </c>
      <c r="L41" s="4">
        <v>2629.16</v>
      </c>
      <c r="M41" s="15">
        <f t="shared" si="7"/>
        <v>0.8713849172</v>
      </c>
    </row>
    <row r="42">
      <c r="A42" s="2">
        <v>44967.0</v>
      </c>
      <c r="B42" s="12">
        <f t="shared" si="1"/>
        <v>2</v>
      </c>
      <c r="C42" s="3">
        <v>39755.0</v>
      </c>
      <c r="D42" s="13">
        <f t="shared" si="2"/>
        <v>0.02819771098</v>
      </c>
      <c r="E42" s="5">
        <v>1121.0</v>
      </c>
      <c r="F42" s="14">
        <f t="shared" si="3"/>
        <v>1.110089206</v>
      </c>
      <c r="G42" s="14">
        <f t="shared" si="4"/>
        <v>31.30197459</v>
      </c>
      <c r="H42" s="4">
        <v>1244.41</v>
      </c>
      <c r="I42" s="13">
        <f t="shared" si="5"/>
        <v>0.02497769848</v>
      </c>
      <c r="J42" s="3">
        <v>28.0</v>
      </c>
      <c r="K42" s="14">
        <f t="shared" si="6"/>
        <v>197.1917857</v>
      </c>
      <c r="L42" s="4">
        <v>5521.37</v>
      </c>
      <c r="M42" s="15">
        <f t="shared" si="7"/>
        <v>4.436937987</v>
      </c>
    </row>
    <row r="43">
      <c r="A43" s="2">
        <v>44968.0</v>
      </c>
      <c r="B43" s="12">
        <f t="shared" si="1"/>
        <v>2</v>
      </c>
      <c r="C43" s="3">
        <v>78407.0</v>
      </c>
      <c r="D43" s="13">
        <f t="shared" si="2"/>
        <v>0.02289336411</v>
      </c>
      <c r="E43" s="5">
        <v>1795.0</v>
      </c>
      <c r="F43" s="14">
        <f t="shared" si="3"/>
        <v>1.160334262</v>
      </c>
      <c r="G43" s="14">
        <f t="shared" si="4"/>
        <v>26.56395475</v>
      </c>
      <c r="H43" s="4">
        <v>2082.8</v>
      </c>
      <c r="I43" s="13">
        <f t="shared" si="5"/>
        <v>0.01559888579</v>
      </c>
      <c r="J43" s="3">
        <v>28.0</v>
      </c>
      <c r="K43" s="14">
        <f t="shared" si="6"/>
        <v>199.0717857</v>
      </c>
      <c r="L43" s="4">
        <v>5574.01</v>
      </c>
      <c r="M43" s="15">
        <f t="shared" si="7"/>
        <v>2.67620991</v>
      </c>
    </row>
    <row r="44">
      <c r="A44" s="2">
        <v>44969.0</v>
      </c>
      <c r="B44" s="12">
        <f t="shared" si="1"/>
        <v>2</v>
      </c>
      <c r="C44" s="3">
        <v>86349.0</v>
      </c>
      <c r="D44" s="13">
        <f t="shared" si="2"/>
        <v>0.02039398256</v>
      </c>
      <c r="E44" s="5">
        <v>1761.0</v>
      </c>
      <c r="F44" s="14">
        <f t="shared" si="3"/>
        <v>1.000289608</v>
      </c>
      <c r="G44" s="14">
        <f t="shared" si="4"/>
        <v>20.39988882</v>
      </c>
      <c r="H44" s="4">
        <v>1761.51</v>
      </c>
      <c r="I44" s="13">
        <f t="shared" si="5"/>
        <v>0.01590005679</v>
      </c>
      <c r="J44" s="3">
        <v>28.0</v>
      </c>
      <c r="K44" s="14">
        <f t="shared" si="6"/>
        <v>169.2003571</v>
      </c>
      <c r="L44" s="4">
        <v>4737.61</v>
      </c>
      <c r="M44" s="15">
        <f t="shared" si="7"/>
        <v>2.689516381</v>
      </c>
    </row>
    <row r="45">
      <c r="A45" s="2">
        <v>44970.0</v>
      </c>
      <c r="B45" s="12">
        <f t="shared" si="1"/>
        <v>2</v>
      </c>
      <c r="C45" s="3">
        <v>24867.0</v>
      </c>
      <c r="D45" s="13">
        <f t="shared" si="2"/>
        <v>0.02046889452</v>
      </c>
      <c r="E45" s="3">
        <v>509.0</v>
      </c>
      <c r="F45" s="14">
        <f t="shared" si="3"/>
        <v>1.502278978</v>
      </c>
      <c r="G45" s="14">
        <f t="shared" si="4"/>
        <v>30.74998995</v>
      </c>
      <c r="H45" s="4">
        <v>764.66</v>
      </c>
      <c r="I45" s="13">
        <f t="shared" si="5"/>
        <v>0.02357563851</v>
      </c>
      <c r="J45" s="3">
        <v>12.0</v>
      </c>
      <c r="K45" s="14">
        <f t="shared" si="6"/>
        <v>162.4141667</v>
      </c>
      <c r="L45" s="4">
        <v>1948.97</v>
      </c>
      <c r="M45" s="15">
        <f t="shared" si="7"/>
        <v>2.548806005</v>
      </c>
    </row>
    <row r="46">
      <c r="A46" s="2">
        <v>44971.0</v>
      </c>
      <c r="B46" s="12">
        <f t="shared" si="1"/>
        <v>2</v>
      </c>
      <c r="C46" s="3">
        <v>91084.0</v>
      </c>
      <c r="D46" s="13">
        <f t="shared" si="2"/>
        <v>0.01979491458</v>
      </c>
      <c r="E46" s="5">
        <v>1803.0</v>
      </c>
      <c r="F46" s="14">
        <f t="shared" si="3"/>
        <v>1.360343871</v>
      </c>
      <c r="G46" s="14">
        <f t="shared" si="4"/>
        <v>26.92789074</v>
      </c>
      <c r="H46" s="4">
        <v>2452.7</v>
      </c>
      <c r="I46" s="13">
        <f t="shared" si="5"/>
        <v>0.0205213533</v>
      </c>
      <c r="J46" s="3">
        <v>37.0</v>
      </c>
      <c r="K46" s="14">
        <f t="shared" si="6"/>
        <v>188.5740541</v>
      </c>
      <c r="L46" s="4">
        <v>6977.24</v>
      </c>
      <c r="M46" s="15">
        <f t="shared" si="7"/>
        <v>2.844718066</v>
      </c>
    </row>
    <row r="47">
      <c r="A47" s="2">
        <v>44972.0</v>
      </c>
      <c r="B47" s="12">
        <f t="shared" si="1"/>
        <v>2</v>
      </c>
      <c r="C47" s="3">
        <v>69446.0</v>
      </c>
      <c r="D47" s="13">
        <f t="shared" si="2"/>
        <v>0.0280937707</v>
      </c>
      <c r="E47" s="5">
        <v>1951.0</v>
      </c>
      <c r="F47" s="14">
        <f t="shared" si="3"/>
        <v>1.750384418</v>
      </c>
      <c r="G47" s="14">
        <f t="shared" si="4"/>
        <v>49.17489848</v>
      </c>
      <c r="H47" s="4">
        <v>3415.0</v>
      </c>
      <c r="I47" s="13">
        <f t="shared" si="5"/>
        <v>0.01281394157</v>
      </c>
      <c r="J47" s="3">
        <v>25.0</v>
      </c>
      <c r="K47" s="14">
        <f t="shared" si="6"/>
        <v>184.6836</v>
      </c>
      <c r="L47" s="4">
        <v>4617.09</v>
      </c>
      <c r="M47" s="15">
        <f t="shared" si="7"/>
        <v>1.352002928</v>
      </c>
    </row>
    <row r="48">
      <c r="A48" s="2">
        <v>44973.0</v>
      </c>
      <c r="B48" s="12">
        <f t="shared" si="1"/>
        <v>2</v>
      </c>
      <c r="C48" s="3">
        <v>13572.0</v>
      </c>
      <c r="D48" s="13">
        <f t="shared" si="2"/>
        <v>0.0135573239</v>
      </c>
      <c r="E48" s="3">
        <v>184.0</v>
      </c>
      <c r="F48" s="14">
        <f t="shared" si="3"/>
        <v>1.905978261</v>
      </c>
      <c r="G48" s="14">
        <f t="shared" si="4"/>
        <v>25.83996463</v>
      </c>
      <c r="H48" s="4">
        <v>350.7</v>
      </c>
      <c r="I48" s="13">
        <f t="shared" si="5"/>
        <v>0.02173913043</v>
      </c>
      <c r="J48" s="3">
        <v>4.0</v>
      </c>
      <c r="K48" s="14">
        <f t="shared" si="6"/>
        <v>176.9475</v>
      </c>
      <c r="L48" s="4">
        <v>707.79</v>
      </c>
      <c r="M48" s="15">
        <f t="shared" si="7"/>
        <v>2.018220701</v>
      </c>
    </row>
    <row r="49">
      <c r="A49" s="2">
        <v>44974.0</v>
      </c>
      <c r="B49" s="12">
        <f t="shared" si="1"/>
        <v>2</v>
      </c>
      <c r="C49" s="3">
        <v>10937.0</v>
      </c>
      <c r="D49" s="13">
        <f t="shared" si="2"/>
        <v>0.01682362622</v>
      </c>
      <c r="E49" s="3">
        <v>184.0</v>
      </c>
      <c r="F49" s="14">
        <f t="shared" si="3"/>
        <v>1.928695652</v>
      </c>
      <c r="G49" s="14">
        <f t="shared" si="4"/>
        <v>32.44765475</v>
      </c>
      <c r="H49" s="4">
        <v>354.88</v>
      </c>
      <c r="I49" s="13">
        <f t="shared" si="5"/>
        <v>0.01630434783</v>
      </c>
      <c r="J49" s="3">
        <v>3.0</v>
      </c>
      <c r="K49" s="14">
        <f t="shared" si="6"/>
        <v>243.1</v>
      </c>
      <c r="L49" s="4">
        <v>729.3</v>
      </c>
      <c r="M49" s="15">
        <f t="shared" si="7"/>
        <v>2.055060866</v>
      </c>
    </row>
    <row r="50">
      <c r="A50" s="2">
        <v>44975.0</v>
      </c>
      <c r="B50" s="12">
        <f t="shared" si="1"/>
        <v>2</v>
      </c>
      <c r="C50" s="3">
        <v>51617.0</v>
      </c>
      <c r="D50" s="13">
        <f t="shared" si="2"/>
        <v>0.01358079702</v>
      </c>
      <c r="E50" s="3">
        <v>701.0</v>
      </c>
      <c r="F50" s="14">
        <f t="shared" si="3"/>
        <v>1.992810271</v>
      </c>
      <c r="G50" s="14">
        <f t="shared" si="4"/>
        <v>27.0639518</v>
      </c>
      <c r="H50" s="4">
        <v>1396.96</v>
      </c>
      <c r="I50" s="13">
        <f t="shared" si="5"/>
        <v>0.01283880171</v>
      </c>
      <c r="J50" s="3">
        <v>9.0</v>
      </c>
      <c r="K50" s="14">
        <f t="shared" si="6"/>
        <v>199.8333333</v>
      </c>
      <c r="L50" s="4">
        <v>1798.5</v>
      </c>
      <c r="M50" s="15">
        <f t="shared" si="7"/>
        <v>1.287438438</v>
      </c>
    </row>
    <row r="51">
      <c r="A51" s="2">
        <v>44976.0</v>
      </c>
      <c r="B51" s="12">
        <f t="shared" si="1"/>
        <v>2</v>
      </c>
      <c r="C51" s="3">
        <v>27084.0</v>
      </c>
      <c r="D51" s="13">
        <f t="shared" si="2"/>
        <v>0.02226406735</v>
      </c>
      <c r="E51" s="3">
        <v>603.0</v>
      </c>
      <c r="F51" s="14">
        <f t="shared" si="3"/>
        <v>1.963150912</v>
      </c>
      <c r="G51" s="14">
        <f t="shared" si="4"/>
        <v>43.70772412</v>
      </c>
      <c r="H51" s="4">
        <v>1183.78</v>
      </c>
      <c r="I51" s="13">
        <f t="shared" si="5"/>
        <v>0.01824212272</v>
      </c>
      <c r="J51" s="3">
        <v>11.0</v>
      </c>
      <c r="K51" s="14">
        <f t="shared" si="6"/>
        <v>123.3090909</v>
      </c>
      <c r="L51" s="4">
        <v>1356.4</v>
      </c>
      <c r="M51" s="15">
        <f t="shared" si="7"/>
        <v>1.145821014</v>
      </c>
    </row>
    <row r="52">
      <c r="A52" s="2">
        <v>44977.0</v>
      </c>
      <c r="B52" s="12">
        <f t="shared" si="1"/>
        <v>2</v>
      </c>
      <c r="C52" s="3">
        <v>81535.0</v>
      </c>
      <c r="D52" s="13">
        <f t="shared" si="2"/>
        <v>0.01499969338</v>
      </c>
      <c r="E52" s="5">
        <v>1223.0</v>
      </c>
      <c r="F52" s="14">
        <f t="shared" si="3"/>
        <v>1.740032706</v>
      </c>
      <c r="G52" s="14">
        <f t="shared" si="4"/>
        <v>26.09995707</v>
      </c>
      <c r="H52" s="4">
        <v>2128.06</v>
      </c>
      <c r="I52" s="13">
        <f t="shared" si="5"/>
        <v>0.02289452167</v>
      </c>
      <c r="J52" s="3">
        <v>28.0</v>
      </c>
      <c r="K52" s="14">
        <f t="shared" si="6"/>
        <v>158.4253571</v>
      </c>
      <c r="L52" s="4">
        <v>4435.91</v>
      </c>
      <c r="M52" s="15">
        <f t="shared" si="7"/>
        <v>2.0844854</v>
      </c>
    </row>
    <row r="53">
      <c r="A53" s="2">
        <v>44978.0</v>
      </c>
      <c r="B53" s="12">
        <f t="shared" si="1"/>
        <v>2</v>
      </c>
      <c r="C53" s="3">
        <v>87918.0</v>
      </c>
      <c r="D53" s="13">
        <f t="shared" si="2"/>
        <v>0.01108987921</v>
      </c>
      <c r="E53" s="3">
        <v>975.0</v>
      </c>
      <c r="F53" s="14">
        <f t="shared" si="3"/>
        <v>1.621476923</v>
      </c>
      <c r="G53" s="14">
        <f t="shared" si="4"/>
        <v>17.98198321</v>
      </c>
      <c r="H53" s="4">
        <v>1580.94</v>
      </c>
      <c r="I53" s="13">
        <f t="shared" si="5"/>
        <v>0.01435897436</v>
      </c>
      <c r="J53" s="3">
        <v>14.0</v>
      </c>
      <c r="K53" s="14">
        <f t="shared" si="6"/>
        <v>108.8957143</v>
      </c>
      <c r="L53" s="4">
        <v>1524.54</v>
      </c>
      <c r="M53" s="15">
        <f t="shared" si="7"/>
        <v>0.9643250218</v>
      </c>
    </row>
    <row r="54">
      <c r="A54" s="2">
        <v>44979.0</v>
      </c>
      <c r="B54" s="12">
        <f t="shared" si="1"/>
        <v>2</v>
      </c>
      <c r="C54" s="3">
        <v>67900.0</v>
      </c>
      <c r="D54" s="13">
        <f t="shared" si="2"/>
        <v>0.0134904271</v>
      </c>
      <c r="E54" s="3">
        <v>916.0</v>
      </c>
      <c r="F54" s="14">
        <f t="shared" si="3"/>
        <v>1.71121179</v>
      </c>
      <c r="G54" s="14">
        <f t="shared" si="4"/>
        <v>23.08497791</v>
      </c>
      <c r="H54" s="4">
        <v>1567.47</v>
      </c>
      <c r="I54" s="13">
        <f t="shared" si="5"/>
        <v>0.01637554585</v>
      </c>
      <c r="J54" s="3">
        <v>15.0</v>
      </c>
      <c r="K54" s="14">
        <f t="shared" si="6"/>
        <v>148.222</v>
      </c>
      <c r="L54" s="4">
        <v>2223.33</v>
      </c>
      <c r="M54" s="15">
        <f t="shared" si="7"/>
        <v>1.418419491</v>
      </c>
    </row>
    <row r="55">
      <c r="A55" s="2">
        <v>44980.0</v>
      </c>
      <c r="B55" s="12">
        <f t="shared" si="1"/>
        <v>2</v>
      </c>
      <c r="C55" s="3">
        <v>86072.0</v>
      </c>
      <c r="D55" s="13">
        <f t="shared" si="2"/>
        <v>0.0109907984</v>
      </c>
      <c r="E55" s="3">
        <v>946.0</v>
      </c>
      <c r="F55" s="14">
        <f t="shared" si="3"/>
        <v>1.591321353</v>
      </c>
      <c r="G55" s="14">
        <f t="shared" si="4"/>
        <v>17.48989218</v>
      </c>
      <c r="H55" s="4">
        <v>1505.39</v>
      </c>
      <c r="I55" s="13">
        <f t="shared" si="5"/>
        <v>0.02431289641</v>
      </c>
      <c r="J55" s="3">
        <v>23.0</v>
      </c>
      <c r="K55" s="14">
        <f t="shared" si="6"/>
        <v>191.676087</v>
      </c>
      <c r="L55" s="4">
        <v>4408.55</v>
      </c>
      <c r="M55" s="15">
        <f t="shared" si="7"/>
        <v>2.92851022</v>
      </c>
    </row>
    <row r="56">
      <c r="A56" s="2">
        <v>44981.0</v>
      </c>
      <c r="B56" s="12">
        <f t="shared" si="1"/>
        <v>2</v>
      </c>
      <c r="C56" s="3">
        <v>17883.0</v>
      </c>
      <c r="D56" s="13">
        <f t="shared" si="2"/>
        <v>0.0269529721</v>
      </c>
      <c r="E56" s="3">
        <v>482.0</v>
      </c>
      <c r="F56" s="14">
        <f t="shared" si="3"/>
        <v>1.302261411</v>
      </c>
      <c r="G56" s="14">
        <f t="shared" si="4"/>
        <v>35.09981547</v>
      </c>
      <c r="H56" s="4">
        <v>627.69</v>
      </c>
      <c r="I56" s="13">
        <f t="shared" si="5"/>
        <v>0.01244813278</v>
      </c>
      <c r="J56" s="3">
        <v>6.0</v>
      </c>
      <c r="K56" s="14">
        <f t="shared" si="6"/>
        <v>115.23</v>
      </c>
      <c r="L56" s="4">
        <v>691.38</v>
      </c>
      <c r="M56" s="15">
        <f t="shared" si="7"/>
        <v>1.101467285</v>
      </c>
    </row>
    <row r="57">
      <c r="A57" s="2">
        <v>44982.0</v>
      </c>
      <c r="B57" s="12">
        <f t="shared" si="1"/>
        <v>2</v>
      </c>
      <c r="C57" s="3">
        <v>57777.0</v>
      </c>
      <c r="D57" s="13">
        <f t="shared" si="2"/>
        <v>0.01559444069</v>
      </c>
      <c r="E57" s="3">
        <v>901.0</v>
      </c>
      <c r="F57" s="14">
        <f t="shared" si="3"/>
        <v>1.140399556</v>
      </c>
      <c r="G57" s="14">
        <f t="shared" si="4"/>
        <v>17.78389324</v>
      </c>
      <c r="H57" s="4">
        <v>1027.5</v>
      </c>
      <c r="I57" s="13">
        <f t="shared" si="5"/>
        <v>0.01775804661</v>
      </c>
      <c r="J57" s="3">
        <v>16.0</v>
      </c>
      <c r="K57" s="14">
        <f t="shared" si="6"/>
        <v>119.650625</v>
      </c>
      <c r="L57" s="4">
        <v>1914.41</v>
      </c>
      <c r="M57" s="15">
        <f t="shared" si="7"/>
        <v>1.863172749</v>
      </c>
    </row>
    <row r="58">
      <c r="A58" s="2">
        <v>44983.0</v>
      </c>
      <c r="B58" s="12">
        <f t="shared" si="1"/>
        <v>2</v>
      </c>
      <c r="C58" s="3">
        <v>81640.0</v>
      </c>
      <c r="D58" s="13">
        <f t="shared" si="2"/>
        <v>0.02639637433</v>
      </c>
      <c r="E58" s="5">
        <v>2155.0</v>
      </c>
      <c r="F58" s="14">
        <f t="shared" si="3"/>
        <v>1.370185615</v>
      </c>
      <c r="G58" s="14">
        <f t="shared" si="4"/>
        <v>36.16793239</v>
      </c>
      <c r="H58" s="4">
        <v>2952.75</v>
      </c>
      <c r="I58" s="13">
        <f t="shared" si="5"/>
        <v>0.0162412993</v>
      </c>
      <c r="J58" s="3">
        <v>35.0</v>
      </c>
      <c r="K58" s="14">
        <f t="shared" si="6"/>
        <v>162.5954286</v>
      </c>
      <c r="L58" s="4">
        <v>5690.84</v>
      </c>
      <c r="M58" s="15">
        <f t="shared" si="7"/>
        <v>1.927301668</v>
      </c>
    </row>
    <row r="59">
      <c r="A59" s="2">
        <v>44984.0</v>
      </c>
      <c r="B59" s="12">
        <f t="shared" si="1"/>
        <v>2</v>
      </c>
      <c r="C59" s="3">
        <v>44824.0</v>
      </c>
      <c r="D59" s="13">
        <f t="shared" si="2"/>
        <v>0.02877922541</v>
      </c>
      <c r="E59" s="5">
        <v>1290.0</v>
      </c>
      <c r="F59" s="14">
        <f t="shared" si="3"/>
        <v>1.741255814</v>
      </c>
      <c r="G59" s="14">
        <f t="shared" si="4"/>
        <v>50.11199357</v>
      </c>
      <c r="H59" s="4">
        <v>2246.22</v>
      </c>
      <c r="I59" s="13">
        <f t="shared" si="5"/>
        <v>0.01240310078</v>
      </c>
      <c r="J59" s="3">
        <v>16.0</v>
      </c>
      <c r="K59" s="14">
        <f t="shared" si="6"/>
        <v>201.385</v>
      </c>
      <c r="L59" s="4">
        <v>3222.16</v>
      </c>
      <c r="M59" s="15">
        <f t="shared" si="7"/>
        <v>1.434481039</v>
      </c>
    </row>
    <row r="60">
      <c r="A60" s="2">
        <v>44985.0</v>
      </c>
      <c r="B60" s="12">
        <f t="shared" si="1"/>
        <v>2</v>
      </c>
      <c r="C60" s="3">
        <v>14995.0</v>
      </c>
      <c r="D60" s="13">
        <f t="shared" si="2"/>
        <v>0.01127042347</v>
      </c>
      <c r="E60" s="3">
        <v>169.0</v>
      </c>
      <c r="F60" s="14">
        <f t="shared" si="3"/>
        <v>1.634260355</v>
      </c>
      <c r="G60" s="14">
        <f t="shared" si="4"/>
        <v>18.41880627</v>
      </c>
      <c r="H60" s="4">
        <v>276.19</v>
      </c>
      <c r="I60" s="13">
        <f t="shared" si="5"/>
        <v>0.01183431953</v>
      </c>
      <c r="J60" s="3">
        <v>2.0</v>
      </c>
      <c r="K60" s="14">
        <f t="shared" si="6"/>
        <v>190.54</v>
      </c>
      <c r="L60" s="4">
        <v>381.08</v>
      </c>
      <c r="M60" s="15">
        <f t="shared" si="7"/>
        <v>1.379774793</v>
      </c>
    </row>
    <row r="61">
      <c r="A61" s="2">
        <v>44986.0</v>
      </c>
      <c r="B61" s="12">
        <f t="shared" si="1"/>
        <v>3</v>
      </c>
      <c r="C61" s="3">
        <v>67762.0</v>
      </c>
      <c r="D61" s="13">
        <f t="shared" si="2"/>
        <v>0.01939139931</v>
      </c>
      <c r="E61" s="5">
        <v>1314.0</v>
      </c>
      <c r="F61" s="14">
        <f t="shared" si="3"/>
        <v>1.300570776</v>
      </c>
      <c r="G61" s="14">
        <f t="shared" si="4"/>
        <v>25.21988725</v>
      </c>
      <c r="H61" s="4">
        <v>1708.95</v>
      </c>
      <c r="I61" s="13">
        <f t="shared" si="5"/>
        <v>0.02207001522</v>
      </c>
      <c r="J61" s="3">
        <v>29.0</v>
      </c>
      <c r="K61" s="14">
        <f t="shared" si="6"/>
        <v>151.9296552</v>
      </c>
      <c r="L61" s="4">
        <v>4405.96</v>
      </c>
      <c r="M61" s="15">
        <f t="shared" si="7"/>
        <v>2.578167881</v>
      </c>
    </row>
    <row r="62">
      <c r="A62" s="2">
        <v>44987.0</v>
      </c>
      <c r="B62" s="12">
        <f t="shared" si="1"/>
        <v>3</v>
      </c>
      <c r="C62" s="3">
        <v>46410.0</v>
      </c>
      <c r="D62" s="13">
        <f t="shared" si="2"/>
        <v>0.0279896574</v>
      </c>
      <c r="E62" s="5">
        <v>1299.0</v>
      </c>
      <c r="F62" s="14">
        <f t="shared" si="3"/>
        <v>1.590585065</v>
      </c>
      <c r="G62" s="14">
        <f t="shared" si="4"/>
        <v>44.51993105</v>
      </c>
      <c r="H62" s="4">
        <v>2066.17</v>
      </c>
      <c r="I62" s="13">
        <f t="shared" si="5"/>
        <v>0.01770592764</v>
      </c>
      <c r="J62" s="3">
        <v>23.0</v>
      </c>
      <c r="K62" s="14">
        <f t="shared" si="6"/>
        <v>160.6834783</v>
      </c>
      <c r="L62" s="4">
        <v>3695.72</v>
      </c>
      <c r="M62" s="15">
        <f t="shared" si="7"/>
        <v>1.788681473</v>
      </c>
    </row>
    <row r="63">
      <c r="A63" s="2">
        <v>44988.0</v>
      </c>
      <c r="B63" s="12">
        <f t="shared" si="1"/>
        <v>3</v>
      </c>
      <c r="C63" s="3">
        <v>21953.0</v>
      </c>
      <c r="D63" s="13">
        <f t="shared" si="2"/>
        <v>0.02587345693</v>
      </c>
      <c r="E63" s="3">
        <v>568.0</v>
      </c>
      <c r="F63" s="14">
        <f t="shared" si="3"/>
        <v>1.22125</v>
      </c>
      <c r="G63" s="14">
        <f t="shared" si="4"/>
        <v>31.59795928</v>
      </c>
      <c r="H63" s="4">
        <v>693.67</v>
      </c>
      <c r="I63" s="13">
        <f t="shared" si="5"/>
        <v>0.02288732394</v>
      </c>
      <c r="J63" s="3">
        <v>13.0</v>
      </c>
      <c r="K63" s="14">
        <f t="shared" si="6"/>
        <v>188.2884615</v>
      </c>
      <c r="L63" s="4">
        <v>2447.75</v>
      </c>
      <c r="M63" s="15">
        <f t="shared" si="7"/>
        <v>3.528695201</v>
      </c>
    </row>
    <row r="64">
      <c r="A64" s="2">
        <v>44989.0</v>
      </c>
      <c r="B64" s="12">
        <f t="shared" si="1"/>
        <v>3</v>
      </c>
      <c r="C64" s="3">
        <v>33528.0</v>
      </c>
      <c r="D64" s="13">
        <f t="shared" si="2"/>
        <v>0.01527081842</v>
      </c>
      <c r="E64" s="3">
        <v>512.0</v>
      </c>
      <c r="F64" s="14">
        <f t="shared" si="3"/>
        <v>1.593027344</v>
      </c>
      <c r="G64" s="14">
        <f t="shared" si="4"/>
        <v>24.32683131</v>
      </c>
      <c r="H64" s="4">
        <v>815.63</v>
      </c>
      <c r="I64" s="13">
        <f t="shared" si="5"/>
        <v>0.01953125</v>
      </c>
      <c r="J64" s="3">
        <v>10.0</v>
      </c>
      <c r="K64" s="14">
        <f t="shared" si="6"/>
        <v>204.678</v>
      </c>
      <c r="L64" s="4">
        <v>2046.78</v>
      </c>
      <c r="M64" s="15">
        <f t="shared" si="7"/>
        <v>2.509446685</v>
      </c>
    </row>
    <row r="65">
      <c r="A65" s="2">
        <v>44990.0</v>
      </c>
      <c r="B65" s="12">
        <f t="shared" si="1"/>
        <v>3</v>
      </c>
      <c r="C65" s="3">
        <v>54650.0</v>
      </c>
      <c r="D65" s="13">
        <f t="shared" si="2"/>
        <v>0.02389752973</v>
      </c>
      <c r="E65" s="5">
        <v>1306.0</v>
      </c>
      <c r="F65" s="14">
        <f t="shared" si="3"/>
        <v>1.76017611</v>
      </c>
      <c r="G65" s="14">
        <f t="shared" si="4"/>
        <v>42.06386093</v>
      </c>
      <c r="H65" s="4">
        <v>2298.79</v>
      </c>
      <c r="I65" s="13">
        <f t="shared" si="5"/>
        <v>0.02297090352</v>
      </c>
      <c r="J65" s="3">
        <v>30.0</v>
      </c>
      <c r="K65" s="14">
        <f t="shared" si="6"/>
        <v>110.573</v>
      </c>
      <c r="L65" s="4">
        <v>3317.19</v>
      </c>
      <c r="M65" s="15">
        <f t="shared" si="7"/>
        <v>1.443015673</v>
      </c>
    </row>
    <row r="66">
      <c r="A66" s="2">
        <v>44991.0</v>
      </c>
      <c r="B66" s="12">
        <f t="shared" si="1"/>
        <v>3</v>
      </c>
      <c r="C66" s="3">
        <v>59691.0</v>
      </c>
      <c r="D66" s="13">
        <f t="shared" si="2"/>
        <v>0.0222981689</v>
      </c>
      <c r="E66" s="5">
        <v>1331.0</v>
      </c>
      <c r="F66" s="14">
        <f t="shared" si="3"/>
        <v>1.220097671</v>
      </c>
      <c r="G66" s="14">
        <f t="shared" si="4"/>
        <v>27.20594394</v>
      </c>
      <c r="H66" s="4">
        <v>1623.95</v>
      </c>
      <c r="I66" s="13">
        <f t="shared" si="5"/>
        <v>0.01502629602</v>
      </c>
      <c r="J66" s="3">
        <v>20.0</v>
      </c>
      <c r="K66" s="14">
        <f t="shared" si="6"/>
        <v>201.317</v>
      </c>
      <c r="L66" s="4">
        <v>4026.34</v>
      </c>
      <c r="M66" s="15">
        <f t="shared" si="7"/>
        <v>2.479349734</v>
      </c>
    </row>
    <row r="67">
      <c r="A67" s="2">
        <v>44992.0</v>
      </c>
      <c r="B67" s="12">
        <f t="shared" si="1"/>
        <v>3</v>
      </c>
      <c r="C67" s="3">
        <v>25009.0</v>
      </c>
      <c r="D67" s="13">
        <f t="shared" si="2"/>
        <v>0.02367147827</v>
      </c>
      <c r="E67" s="3">
        <v>592.0</v>
      </c>
      <c r="F67" s="14">
        <f t="shared" si="3"/>
        <v>1.031233108</v>
      </c>
      <c r="G67" s="14">
        <f t="shared" si="4"/>
        <v>24.41081211</v>
      </c>
      <c r="H67" s="4">
        <v>610.49</v>
      </c>
      <c r="I67" s="13">
        <f t="shared" si="5"/>
        <v>0.01689189189</v>
      </c>
      <c r="J67" s="3">
        <v>10.0</v>
      </c>
      <c r="K67" s="14">
        <f t="shared" si="6"/>
        <v>113.09</v>
      </c>
      <c r="L67" s="4">
        <v>1130.9</v>
      </c>
      <c r="M67" s="15">
        <f t="shared" si="7"/>
        <v>1.852446396</v>
      </c>
    </row>
    <row r="68">
      <c r="A68" s="2">
        <v>44993.0</v>
      </c>
      <c r="B68" s="12">
        <f t="shared" si="1"/>
        <v>3</v>
      </c>
      <c r="C68" s="3">
        <v>80702.0</v>
      </c>
      <c r="D68" s="13">
        <f t="shared" si="2"/>
        <v>0.02459666427</v>
      </c>
      <c r="E68" s="5">
        <v>1985.0</v>
      </c>
      <c r="F68" s="14">
        <f t="shared" si="3"/>
        <v>1.060141058</v>
      </c>
      <c r="G68" s="14">
        <f t="shared" si="4"/>
        <v>26.07593368</v>
      </c>
      <c r="H68" s="4">
        <v>2104.38</v>
      </c>
      <c r="I68" s="13">
        <f t="shared" si="5"/>
        <v>0.02367758186</v>
      </c>
      <c r="J68" s="3">
        <v>47.0</v>
      </c>
      <c r="K68" s="14">
        <f t="shared" si="6"/>
        <v>103.5465957</v>
      </c>
      <c r="L68" s="4">
        <v>4866.69</v>
      </c>
      <c r="M68" s="15">
        <f t="shared" si="7"/>
        <v>2.312647906</v>
      </c>
    </row>
    <row r="69">
      <c r="A69" s="2">
        <v>44994.0</v>
      </c>
      <c r="B69" s="12">
        <f t="shared" si="1"/>
        <v>3</v>
      </c>
      <c r="C69" s="3">
        <v>72929.0</v>
      </c>
      <c r="D69" s="13">
        <f t="shared" si="2"/>
        <v>0.02869914574</v>
      </c>
      <c r="E69" s="5">
        <v>2093.0</v>
      </c>
      <c r="F69" s="14">
        <f t="shared" si="3"/>
        <v>1.340038223</v>
      </c>
      <c r="G69" s="14">
        <f t="shared" si="4"/>
        <v>38.45795225</v>
      </c>
      <c r="H69" s="4">
        <v>2804.7</v>
      </c>
      <c r="I69" s="13">
        <f t="shared" si="5"/>
        <v>0.02245580506</v>
      </c>
      <c r="J69" s="3">
        <v>47.0</v>
      </c>
      <c r="K69" s="14">
        <f t="shared" si="6"/>
        <v>147.5921277</v>
      </c>
      <c r="L69" s="4">
        <v>6936.83</v>
      </c>
      <c r="M69" s="15">
        <f t="shared" si="7"/>
        <v>2.473287696</v>
      </c>
    </row>
    <row r="70">
      <c r="A70" s="2">
        <v>44995.0</v>
      </c>
      <c r="B70" s="12">
        <f t="shared" si="1"/>
        <v>3</v>
      </c>
      <c r="C70" s="3">
        <v>82617.0</v>
      </c>
      <c r="D70" s="13">
        <f t="shared" si="2"/>
        <v>0.0235907864</v>
      </c>
      <c r="E70" s="5">
        <v>1949.0</v>
      </c>
      <c r="F70" s="14">
        <f t="shared" si="3"/>
        <v>1.530595177</v>
      </c>
      <c r="G70" s="14">
        <f t="shared" si="4"/>
        <v>36.10794389</v>
      </c>
      <c r="H70" s="4">
        <v>2983.13</v>
      </c>
      <c r="I70" s="13">
        <f t="shared" si="5"/>
        <v>0.02001026167</v>
      </c>
      <c r="J70" s="3">
        <v>39.0</v>
      </c>
      <c r="K70" s="14">
        <f t="shared" si="6"/>
        <v>189.7817949</v>
      </c>
      <c r="L70" s="4">
        <v>7401.49</v>
      </c>
      <c r="M70" s="15">
        <f t="shared" si="7"/>
        <v>2.481115473</v>
      </c>
    </row>
    <row r="71">
      <c r="A71" s="2">
        <v>44996.0</v>
      </c>
      <c r="B71" s="12">
        <f t="shared" si="1"/>
        <v>3</v>
      </c>
      <c r="C71" s="3">
        <v>32703.0</v>
      </c>
      <c r="D71" s="13">
        <f t="shared" si="2"/>
        <v>0.02498241752</v>
      </c>
      <c r="E71" s="3">
        <v>817.0</v>
      </c>
      <c r="F71" s="14">
        <f t="shared" si="3"/>
        <v>1.180820073</v>
      </c>
      <c r="G71" s="14">
        <f t="shared" si="4"/>
        <v>29.49974009</v>
      </c>
      <c r="H71" s="4">
        <v>964.73</v>
      </c>
      <c r="I71" s="13">
        <f t="shared" si="5"/>
        <v>0.01223990208</v>
      </c>
      <c r="J71" s="3">
        <v>10.0</v>
      </c>
      <c r="K71" s="14">
        <f t="shared" si="6"/>
        <v>189.53</v>
      </c>
      <c r="L71" s="4">
        <v>1895.3</v>
      </c>
      <c r="M71" s="15">
        <f t="shared" si="7"/>
        <v>1.964591129</v>
      </c>
    </row>
    <row r="72">
      <c r="A72" s="2">
        <v>44997.0</v>
      </c>
      <c r="B72" s="12">
        <f t="shared" si="1"/>
        <v>3</v>
      </c>
      <c r="C72" s="3">
        <v>92119.0</v>
      </c>
      <c r="D72" s="13">
        <f t="shared" si="2"/>
        <v>0.01669579566</v>
      </c>
      <c r="E72" s="5">
        <v>1538.0</v>
      </c>
      <c r="F72" s="14">
        <f t="shared" si="3"/>
        <v>1.360338101</v>
      </c>
      <c r="G72" s="14">
        <f t="shared" si="4"/>
        <v>22.71192696</v>
      </c>
      <c r="H72" s="4">
        <v>2092.2</v>
      </c>
      <c r="I72" s="13">
        <f t="shared" si="5"/>
        <v>0.01755526658</v>
      </c>
      <c r="J72" s="3">
        <v>27.0</v>
      </c>
      <c r="K72" s="14">
        <f t="shared" si="6"/>
        <v>183.5125926</v>
      </c>
      <c r="L72" s="4">
        <v>4954.84</v>
      </c>
      <c r="M72" s="15">
        <f t="shared" si="7"/>
        <v>2.368243954</v>
      </c>
    </row>
    <row r="73">
      <c r="A73" s="2">
        <v>44998.0</v>
      </c>
      <c r="B73" s="12">
        <f t="shared" si="1"/>
        <v>3</v>
      </c>
      <c r="C73" s="3">
        <v>25896.0</v>
      </c>
      <c r="D73" s="13">
        <f t="shared" si="2"/>
        <v>0.01957831325</v>
      </c>
      <c r="E73" s="3">
        <v>507.0</v>
      </c>
      <c r="F73" s="14">
        <f t="shared" si="3"/>
        <v>1.371499014</v>
      </c>
      <c r="G73" s="14">
        <f t="shared" si="4"/>
        <v>26.85163732</v>
      </c>
      <c r="H73" s="4">
        <v>695.35</v>
      </c>
      <c r="I73" s="13">
        <f t="shared" si="5"/>
        <v>0.01972386588</v>
      </c>
      <c r="J73" s="3">
        <v>10.0</v>
      </c>
      <c r="K73" s="14">
        <f t="shared" si="6"/>
        <v>128.545</v>
      </c>
      <c r="L73" s="4">
        <v>1285.45</v>
      </c>
      <c r="M73" s="15">
        <f t="shared" si="7"/>
        <v>1.848637377</v>
      </c>
    </row>
    <row r="74">
      <c r="A74" s="2">
        <v>44999.0</v>
      </c>
      <c r="B74" s="12">
        <f t="shared" si="1"/>
        <v>3</v>
      </c>
      <c r="C74" s="3">
        <v>59317.0</v>
      </c>
      <c r="D74" s="13">
        <f t="shared" si="2"/>
        <v>0.01048603267</v>
      </c>
      <c r="E74" s="3">
        <v>622.0</v>
      </c>
      <c r="F74" s="14">
        <f t="shared" si="3"/>
        <v>1.882491961</v>
      </c>
      <c r="G74" s="14">
        <f t="shared" si="4"/>
        <v>19.73987221</v>
      </c>
      <c r="H74" s="4">
        <v>1170.91</v>
      </c>
      <c r="I74" s="13">
        <f t="shared" si="5"/>
        <v>0.01286173633</v>
      </c>
      <c r="J74" s="3">
        <v>8.0</v>
      </c>
      <c r="K74" s="14">
        <f t="shared" si="6"/>
        <v>124.44125</v>
      </c>
      <c r="L74" s="4">
        <v>995.53</v>
      </c>
      <c r="M74" s="15">
        <f t="shared" si="7"/>
        <v>0.8502190604</v>
      </c>
    </row>
    <row r="75">
      <c r="A75" s="2">
        <v>45000.0</v>
      </c>
      <c r="B75" s="12">
        <f t="shared" si="1"/>
        <v>3</v>
      </c>
      <c r="C75" s="3">
        <v>24567.0</v>
      </c>
      <c r="D75" s="13">
        <f t="shared" si="2"/>
        <v>0.01257784833</v>
      </c>
      <c r="E75" s="3">
        <v>309.0</v>
      </c>
      <c r="F75" s="14">
        <f t="shared" si="3"/>
        <v>1.031812298</v>
      </c>
      <c r="G75" s="14">
        <f t="shared" si="4"/>
        <v>12.97797859</v>
      </c>
      <c r="H75" s="4">
        <v>318.83</v>
      </c>
      <c r="I75" s="13">
        <f t="shared" si="5"/>
        <v>0.01618122977</v>
      </c>
      <c r="J75" s="3">
        <v>5.0</v>
      </c>
      <c r="K75" s="14">
        <f t="shared" si="6"/>
        <v>191.892</v>
      </c>
      <c r="L75" s="4">
        <v>959.46</v>
      </c>
      <c r="M75" s="15">
        <f t="shared" si="7"/>
        <v>3.009315309</v>
      </c>
    </row>
    <row r="76">
      <c r="A76" s="2">
        <v>45001.0</v>
      </c>
      <c r="B76" s="12">
        <f t="shared" si="1"/>
        <v>3</v>
      </c>
      <c r="C76" s="3">
        <v>24965.0</v>
      </c>
      <c r="D76" s="13">
        <f t="shared" si="2"/>
        <v>0.02038854396</v>
      </c>
      <c r="E76" s="3">
        <v>509.0</v>
      </c>
      <c r="F76" s="14">
        <f t="shared" si="3"/>
        <v>1.690943026</v>
      </c>
      <c r="G76" s="14">
        <f t="shared" si="4"/>
        <v>34.47586621</v>
      </c>
      <c r="H76" s="4">
        <v>860.69</v>
      </c>
      <c r="I76" s="13">
        <f t="shared" si="5"/>
        <v>0.01768172888</v>
      </c>
      <c r="J76" s="3">
        <v>9.0</v>
      </c>
      <c r="K76" s="14">
        <f t="shared" si="6"/>
        <v>114.5666667</v>
      </c>
      <c r="L76" s="4">
        <v>1031.1</v>
      </c>
      <c r="M76" s="15">
        <f t="shared" si="7"/>
        <v>1.197992308</v>
      </c>
    </row>
    <row r="77">
      <c r="A77" s="2">
        <v>45002.0</v>
      </c>
      <c r="B77" s="12">
        <f t="shared" si="1"/>
        <v>3</v>
      </c>
      <c r="C77" s="3">
        <v>52112.0</v>
      </c>
      <c r="D77" s="13">
        <f t="shared" si="2"/>
        <v>0.02818928462</v>
      </c>
      <c r="E77" s="5">
        <v>1469.0</v>
      </c>
      <c r="F77" s="14">
        <f t="shared" si="3"/>
        <v>1.750660313</v>
      </c>
      <c r="G77" s="14">
        <f t="shared" si="4"/>
        <v>49.34986184</v>
      </c>
      <c r="H77" s="4">
        <v>2571.72</v>
      </c>
      <c r="I77" s="13">
        <f t="shared" si="5"/>
        <v>0.02450646698</v>
      </c>
      <c r="J77" s="3">
        <v>36.0</v>
      </c>
      <c r="K77" s="14">
        <f t="shared" si="6"/>
        <v>193.0225</v>
      </c>
      <c r="L77" s="4">
        <v>6948.81</v>
      </c>
      <c r="M77" s="15">
        <f t="shared" si="7"/>
        <v>2.702008772</v>
      </c>
    </row>
    <row r="78">
      <c r="A78" s="2">
        <v>45003.0</v>
      </c>
      <c r="B78" s="12">
        <f t="shared" si="1"/>
        <v>3</v>
      </c>
      <c r="C78" s="3">
        <v>38805.0</v>
      </c>
      <c r="D78" s="13">
        <f t="shared" si="2"/>
        <v>0.01718850664</v>
      </c>
      <c r="E78" s="3">
        <v>667.0</v>
      </c>
      <c r="F78" s="14">
        <f t="shared" si="3"/>
        <v>1.561034483</v>
      </c>
      <c r="G78" s="14">
        <f t="shared" si="4"/>
        <v>26.83185157</v>
      </c>
      <c r="H78" s="4">
        <v>1041.21</v>
      </c>
      <c r="I78" s="13">
        <f t="shared" si="5"/>
        <v>0.01499250375</v>
      </c>
      <c r="J78" s="3">
        <v>10.0</v>
      </c>
      <c r="K78" s="14">
        <f t="shared" si="6"/>
        <v>106.791</v>
      </c>
      <c r="L78" s="4">
        <v>1067.91</v>
      </c>
      <c r="M78" s="15">
        <f t="shared" si="7"/>
        <v>1.025643242</v>
      </c>
    </row>
    <row r="79">
      <c r="A79" s="2">
        <v>45004.0</v>
      </c>
      <c r="B79" s="12">
        <f t="shared" si="1"/>
        <v>3</v>
      </c>
      <c r="C79" s="3">
        <v>28757.0</v>
      </c>
      <c r="D79" s="13">
        <f t="shared" si="2"/>
        <v>0.02009945405</v>
      </c>
      <c r="E79" s="3">
        <v>578.0</v>
      </c>
      <c r="F79" s="14">
        <f t="shared" si="3"/>
        <v>1.450034602</v>
      </c>
      <c r="G79" s="14">
        <f t="shared" si="4"/>
        <v>29.14490385</v>
      </c>
      <c r="H79" s="4">
        <v>838.12</v>
      </c>
      <c r="I79" s="13">
        <f t="shared" si="5"/>
        <v>0.02249134948</v>
      </c>
      <c r="J79" s="3">
        <v>13.0</v>
      </c>
      <c r="K79" s="14">
        <f t="shared" si="6"/>
        <v>190.0115385</v>
      </c>
      <c r="L79" s="4">
        <v>2470.15</v>
      </c>
      <c r="M79" s="15">
        <f t="shared" si="7"/>
        <v>2.94725099</v>
      </c>
    </row>
    <row r="80">
      <c r="A80" s="2">
        <v>45005.0</v>
      </c>
      <c r="B80" s="12">
        <f t="shared" si="1"/>
        <v>3</v>
      </c>
      <c r="C80" s="3">
        <v>86041.0</v>
      </c>
      <c r="D80" s="13">
        <f t="shared" si="2"/>
        <v>0.01069257679</v>
      </c>
      <c r="E80" s="3">
        <v>920.0</v>
      </c>
      <c r="F80" s="14">
        <f t="shared" si="3"/>
        <v>1.761217391</v>
      </c>
      <c r="G80" s="14">
        <f t="shared" si="4"/>
        <v>18.83195221</v>
      </c>
      <c r="H80" s="4">
        <v>1620.32</v>
      </c>
      <c r="I80" s="13">
        <f t="shared" si="5"/>
        <v>0.02391304348</v>
      </c>
      <c r="J80" s="3">
        <v>22.0</v>
      </c>
      <c r="K80" s="14">
        <f t="shared" si="6"/>
        <v>185.0736364</v>
      </c>
      <c r="L80" s="4">
        <v>4071.62</v>
      </c>
      <c r="M80" s="15">
        <f t="shared" si="7"/>
        <v>2.512849314</v>
      </c>
    </row>
    <row r="81">
      <c r="A81" s="2">
        <v>45006.0</v>
      </c>
      <c r="B81" s="12">
        <f t="shared" si="1"/>
        <v>3</v>
      </c>
      <c r="C81" s="3">
        <v>32225.0</v>
      </c>
      <c r="D81" s="13">
        <f t="shared" si="2"/>
        <v>0.02349107836</v>
      </c>
      <c r="E81" s="3">
        <v>757.0</v>
      </c>
      <c r="F81" s="14">
        <f t="shared" si="3"/>
        <v>1.890713342</v>
      </c>
      <c r="G81" s="14">
        <f t="shared" si="4"/>
        <v>44.41489527</v>
      </c>
      <c r="H81" s="4">
        <v>1431.27</v>
      </c>
      <c r="I81" s="13">
        <f t="shared" si="5"/>
        <v>0.01849405548</v>
      </c>
      <c r="J81" s="3">
        <v>14.0</v>
      </c>
      <c r="K81" s="14">
        <f t="shared" si="6"/>
        <v>109.5142857</v>
      </c>
      <c r="L81" s="4">
        <v>1533.2</v>
      </c>
      <c r="M81" s="15">
        <f t="shared" si="7"/>
        <v>1.071216472</v>
      </c>
    </row>
    <row r="82">
      <c r="A82" s="2">
        <v>45007.0</v>
      </c>
      <c r="B82" s="12">
        <f t="shared" si="1"/>
        <v>3</v>
      </c>
      <c r="C82" s="3">
        <v>34968.0</v>
      </c>
      <c r="D82" s="13">
        <f t="shared" si="2"/>
        <v>0.02868336765</v>
      </c>
      <c r="E82" s="5">
        <v>1003.0</v>
      </c>
      <c r="F82" s="14">
        <f t="shared" si="3"/>
        <v>1.200687936</v>
      </c>
      <c r="G82" s="14">
        <f t="shared" si="4"/>
        <v>34.43977351</v>
      </c>
      <c r="H82" s="4">
        <v>1204.29</v>
      </c>
      <c r="I82" s="13">
        <f t="shared" si="5"/>
        <v>0.0149551346</v>
      </c>
      <c r="J82" s="3">
        <v>15.0</v>
      </c>
      <c r="K82" s="14">
        <f t="shared" si="6"/>
        <v>146.804</v>
      </c>
      <c r="L82" s="4">
        <v>2202.06</v>
      </c>
      <c r="M82" s="15">
        <f t="shared" si="7"/>
        <v>1.828513066</v>
      </c>
    </row>
    <row r="83">
      <c r="A83" s="2">
        <v>45008.0</v>
      </c>
      <c r="B83" s="12">
        <f t="shared" si="1"/>
        <v>3</v>
      </c>
      <c r="C83" s="3">
        <v>99565.0</v>
      </c>
      <c r="D83" s="13">
        <f t="shared" si="2"/>
        <v>0.01719479737</v>
      </c>
      <c r="E83" s="5">
        <v>1712.0</v>
      </c>
      <c r="F83" s="14">
        <f t="shared" si="3"/>
        <v>1.240373832</v>
      </c>
      <c r="G83" s="14">
        <f t="shared" si="4"/>
        <v>21.3279767</v>
      </c>
      <c r="H83" s="4">
        <v>2123.52</v>
      </c>
      <c r="I83" s="13">
        <f t="shared" si="5"/>
        <v>0.01693925234</v>
      </c>
      <c r="J83" s="3">
        <v>29.0</v>
      </c>
      <c r="K83" s="14">
        <f t="shared" si="6"/>
        <v>139.3517241</v>
      </c>
      <c r="L83" s="4">
        <v>4041.2</v>
      </c>
      <c r="M83" s="15">
        <f t="shared" si="7"/>
        <v>1.903066606</v>
      </c>
    </row>
    <row r="84">
      <c r="A84" s="2">
        <v>45009.0</v>
      </c>
      <c r="B84" s="12">
        <f t="shared" si="1"/>
        <v>3</v>
      </c>
      <c r="C84" s="3">
        <v>10200.0</v>
      </c>
      <c r="D84" s="13">
        <f t="shared" si="2"/>
        <v>0.01215686275</v>
      </c>
      <c r="E84" s="3">
        <v>124.0</v>
      </c>
      <c r="F84" s="14">
        <f t="shared" si="3"/>
        <v>1.615645161</v>
      </c>
      <c r="G84" s="14">
        <f t="shared" si="4"/>
        <v>19.64117647</v>
      </c>
      <c r="H84" s="4">
        <v>200.34</v>
      </c>
      <c r="I84" s="13">
        <f t="shared" si="5"/>
        <v>0.008064516129</v>
      </c>
      <c r="J84" s="3">
        <v>1.0</v>
      </c>
      <c r="K84" s="14">
        <f t="shared" si="6"/>
        <v>203.21</v>
      </c>
      <c r="L84" s="4">
        <v>203.21</v>
      </c>
      <c r="M84" s="15">
        <f t="shared" si="7"/>
        <v>1.014325646</v>
      </c>
    </row>
    <row r="85">
      <c r="A85" s="2">
        <v>45010.0</v>
      </c>
      <c r="B85" s="12">
        <f t="shared" si="1"/>
        <v>3</v>
      </c>
      <c r="C85" s="3">
        <v>72780.0</v>
      </c>
      <c r="D85" s="13">
        <f t="shared" si="2"/>
        <v>0.02529541083</v>
      </c>
      <c r="E85" s="5">
        <v>1841.0</v>
      </c>
      <c r="F85" s="14">
        <f t="shared" si="3"/>
        <v>1.830331342</v>
      </c>
      <c r="G85" s="14">
        <f t="shared" si="4"/>
        <v>46.29898324</v>
      </c>
      <c r="H85" s="4">
        <v>3369.64</v>
      </c>
      <c r="I85" s="13">
        <f t="shared" si="5"/>
        <v>0.01683867463</v>
      </c>
      <c r="J85" s="3">
        <v>31.0</v>
      </c>
      <c r="K85" s="14">
        <f t="shared" si="6"/>
        <v>122.9</v>
      </c>
      <c r="L85" s="4">
        <v>3809.9</v>
      </c>
      <c r="M85" s="15">
        <f t="shared" si="7"/>
        <v>1.130654907</v>
      </c>
    </row>
    <row r="86">
      <c r="A86" s="2">
        <v>45011.0</v>
      </c>
      <c r="B86" s="12">
        <f t="shared" si="1"/>
        <v>3</v>
      </c>
      <c r="C86" s="3">
        <v>24442.0</v>
      </c>
      <c r="D86" s="13">
        <f t="shared" si="2"/>
        <v>0.02409786433</v>
      </c>
      <c r="E86" s="3">
        <v>589.0</v>
      </c>
      <c r="F86" s="14">
        <f t="shared" si="3"/>
        <v>1.04008489</v>
      </c>
      <c r="G86" s="14">
        <f t="shared" si="4"/>
        <v>25.06382456</v>
      </c>
      <c r="H86" s="4">
        <v>612.61</v>
      </c>
      <c r="I86" s="13">
        <f t="shared" si="5"/>
        <v>0.0220713073</v>
      </c>
      <c r="J86" s="3">
        <v>13.0</v>
      </c>
      <c r="K86" s="14">
        <f t="shared" si="6"/>
        <v>109.4276923</v>
      </c>
      <c r="L86" s="4">
        <v>1422.56</v>
      </c>
      <c r="M86" s="15">
        <f t="shared" si="7"/>
        <v>2.322129903</v>
      </c>
    </row>
    <row r="87">
      <c r="A87" s="2">
        <v>45012.0</v>
      </c>
      <c r="B87" s="12">
        <f t="shared" si="1"/>
        <v>3</v>
      </c>
      <c r="C87" s="3">
        <v>81070.0</v>
      </c>
      <c r="D87" s="13">
        <f t="shared" si="2"/>
        <v>0.01339583076</v>
      </c>
      <c r="E87" s="5">
        <v>1086.0</v>
      </c>
      <c r="F87" s="14">
        <f t="shared" si="3"/>
        <v>1.25038674</v>
      </c>
      <c r="G87" s="14">
        <f t="shared" si="4"/>
        <v>16.74996916</v>
      </c>
      <c r="H87" s="4">
        <v>1357.92</v>
      </c>
      <c r="I87" s="13">
        <f t="shared" si="5"/>
        <v>0.01933701657</v>
      </c>
      <c r="J87" s="3">
        <v>21.0</v>
      </c>
      <c r="K87" s="14">
        <f t="shared" si="6"/>
        <v>127.3861905</v>
      </c>
      <c r="L87" s="4">
        <v>2675.11</v>
      </c>
      <c r="M87" s="15">
        <f t="shared" si="7"/>
        <v>1.970005597</v>
      </c>
    </row>
    <row r="88">
      <c r="A88" s="2">
        <v>45013.0</v>
      </c>
      <c r="B88" s="12">
        <f t="shared" si="1"/>
        <v>3</v>
      </c>
      <c r="C88" s="3">
        <v>13535.0</v>
      </c>
      <c r="D88" s="13">
        <f t="shared" si="2"/>
        <v>0.02305134836</v>
      </c>
      <c r="E88" s="3">
        <v>312.0</v>
      </c>
      <c r="F88" s="14">
        <f t="shared" si="3"/>
        <v>1.362852564</v>
      </c>
      <c r="G88" s="14">
        <f t="shared" si="4"/>
        <v>31.41558921</v>
      </c>
      <c r="H88" s="4">
        <v>425.21</v>
      </c>
      <c r="I88" s="13">
        <f t="shared" si="5"/>
        <v>0.01602564103</v>
      </c>
      <c r="J88" s="3">
        <v>5.0</v>
      </c>
      <c r="K88" s="14">
        <f t="shared" si="6"/>
        <v>199.852</v>
      </c>
      <c r="L88" s="4">
        <v>999.26</v>
      </c>
      <c r="M88" s="15">
        <f t="shared" si="7"/>
        <v>2.350038804</v>
      </c>
    </row>
    <row r="89">
      <c r="A89" s="2">
        <v>45014.0</v>
      </c>
      <c r="B89" s="12">
        <f t="shared" si="1"/>
        <v>3</v>
      </c>
      <c r="C89" s="3">
        <v>74290.0</v>
      </c>
      <c r="D89" s="13">
        <f t="shared" si="2"/>
        <v>0.02978866604</v>
      </c>
      <c r="E89" s="5">
        <v>2213.0</v>
      </c>
      <c r="F89" s="14">
        <f t="shared" si="3"/>
        <v>1.800682332</v>
      </c>
      <c r="G89" s="14">
        <f t="shared" si="4"/>
        <v>53.63992462</v>
      </c>
      <c r="H89" s="4">
        <v>3984.91</v>
      </c>
      <c r="I89" s="13">
        <f t="shared" si="5"/>
        <v>0.01491188432</v>
      </c>
      <c r="J89" s="3">
        <v>33.0</v>
      </c>
      <c r="K89" s="14">
        <f t="shared" si="6"/>
        <v>170.3854545</v>
      </c>
      <c r="L89" s="4">
        <v>5622.72</v>
      </c>
      <c r="M89" s="15">
        <f t="shared" si="7"/>
        <v>1.411003009</v>
      </c>
    </row>
    <row r="90">
      <c r="A90" s="2">
        <v>45015.0</v>
      </c>
      <c r="B90" s="12">
        <f t="shared" si="1"/>
        <v>3</v>
      </c>
      <c r="C90" s="3">
        <v>57867.0</v>
      </c>
      <c r="D90" s="13">
        <f t="shared" si="2"/>
        <v>0.01309900289</v>
      </c>
      <c r="E90" s="3">
        <v>758.0</v>
      </c>
      <c r="F90" s="14">
        <f t="shared" si="3"/>
        <v>1.270092348</v>
      </c>
      <c r="G90" s="14">
        <f t="shared" si="4"/>
        <v>16.63694334</v>
      </c>
      <c r="H90" s="4">
        <v>962.73</v>
      </c>
      <c r="I90" s="13">
        <f t="shared" si="5"/>
        <v>0.01583113456</v>
      </c>
      <c r="J90" s="3">
        <v>12.0</v>
      </c>
      <c r="K90" s="14">
        <f t="shared" si="6"/>
        <v>111.8766667</v>
      </c>
      <c r="L90" s="4">
        <v>1342.52</v>
      </c>
      <c r="M90" s="15">
        <f t="shared" si="7"/>
        <v>1.394492745</v>
      </c>
    </row>
    <row r="91">
      <c r="A91" s="2">
        <v>45016.0</v>
      </c>
      <c r="B91" s="12">
        <f t="shared" si="1"/>
        <v>3</v>
      </c>
      <c r="C91" s="3">
        <v>52354.0</v>
      </c>
      <c r="D91" s="13">
        <f t="shared" si="2"/>
        <v>0.01329411315</v>
      </c>
      <c r="E91" s="3">
        <v>696.0</v>
      </c>
      <c r="F91" s="14">
        <f t="shared" si="3"/>
        <v>1.310574713</v>
      </c>
      <c r="G91" s="14">
        <f t="shared" si="4"/>
        <v>17.42292853</v>
      </c>
      <c r="H91" s="4">
        <v>912.16</v>
      </c>
      <c r="I91" s="13">
        <f t="shared" si="5"/>
        <v>0.02011494253</v>
      </c>
      <c r="J91" s="3">
        <v>14.0</v>
      </c>
      <c r="K91" s="14">
        <f t="shared" si="6"/>
        <v>117.3678571</v>
      </c>
      <c r="L91" s="4">
        <v>1643.15</v>
      </c>
      <c r="M91" s="15">
        <f t="shared" si="7"/>
        <v>1.801383529</v>
      </c>
    </row>
    <row r="92">
      <c r="A92" s="2">
        <v>45017.0</v>
      </c>
      <c r="B92" s="12">
        <f t="shared" si="1"/>
        <v>4</v>
      </c>
      <c r="C92" s="3">
        <v>70893.0</v>
      </c>
      <c r="D92" s="13">
        <f t="shared" si="2"/>
        <v>0.0168987065</v>
      </c>
      <c r="E92" s="5">
        <v>1198.0</v>
      </c>
      <c r="F92" s="14">
        <f t="shared" si="3"/>
        <v>1.450108514</v>
      </c>
      <c r="G92" s="14">
        <f t="shared" si="4"/>
        <v>24.50495818</v>
      </c>
      <c r="H92" s="4">
        <v>1737.23</v>
      </c>
      <c r="I92" s="13">
        <f t="shared" si="5"/>
        <v>0.02086811352</v>
      </c>
      <c r="J92" s="3">
        <v>25.0</v>
      </c>
      <c r="K92" s="14">
        <f t="shared" si="6"/>
        <v>105.1396</v>
      </c>
      <c r="L92" s="4">
        <v>2628.49</v>
      </c>
      <c r="M92" s="15">
        <f t="shared" si="7"/>
        <v>1.513035119</v>
      </c>
    </row>
    <row r="93">
      <c r="A93" s="2">
        <v>45018.0</v>
      </c>
      <c r="B93" s="12">
        <f t="shared" si="1"/>
        <v>4</v>
      </c>
      <c r="C93" s="3">
        <v>90617.0</v>
      </c>
      <c r="D93" s="13">
        <f t="shared" si="2"/>
        <v>0.01919065959</v>
      </c>
      <c r="E93" s="5">
        <v>1739.0</v>
      </c>
      <c r="F93" s="14">
        <f t="shared" si="3"/>
        <v>1.900920069</v>
      </c>
      <c r="G93" s="14">
        <f t="shared" si="4"/>
        <v>36.47990995</v>
      </c>
      <c r="H93" s="4">
        <v>3305.7</v>
      </c>
      <c r="I93" s="13">
        <f t="shared" si="5"/>
        <v>0.02415181139</v>
      </c>
      <c r="J93" s="3">
        <v>42.0</v>
      </c>
      <c r="K93" s="14">
        <f t="shared" si="6"/>
        <v>108.4588095</v>
      </c>
      <c r="L93" s="4">
        <v>4555.27</v>
      </c>
      <c r="M93" s="15">
        <f t="shared" si="7"/>
        <v>1.378004659</v>
      </c>
    </row>
    <row r="94">
      <c r="A94" s="2">
        <v>45019.0</v>
      </c>
      <c r="B94" s="12">
        <f t="shared" si="1"/>
        <v>4</v>
      </c>
      <c r="C94" s="3">
        <v>27366.0</v>
      </c>
      <c r="D94" s="13">
        <f t="shared" si="2"/>
        <v>0.01187605057</v>
      </c>
      <c r="E94" s="3">
        <v>325.0</v>
      </c>
      <c r="F94" s="14">
        <f t="shared" si="3"/>
        <v>1.523046154</v>
      </c>
      <c r="G94" s="14">
        <f t="shared" si="4"/>
        <v>18.08777315</v>
      </c>
      <c r="H94" s="4">
        <v>494.99</v>
      </c>
      <c r="I94" s="13">
        <f t="shared" si="5"/>
        <v>0.02153846154</v>
      </c>
      <c r="J94" s="3">
        <v>7.0</v>
      </c>
      <c r="K94" s="14">
        <f t="shared" si="6"/>
        <v>117.3657143</v>
      </c>
      <c r="L94" s="4">
        <v>821.56</v>
      </c>
      <c r="M94" s="15">
        <f t="shared" si="7"/>
        <v>1.659750702</v>
      </c>
    </row>
    <row r="95">
      <c r="A95" s="2">
        <v>45020.0</v>
      </c>
      <c r="B95" s="12">
        <f t="shared" si="1"/>
        <v>4</v>
      </c>
      <c r="C95" s="3">
        <v>72668.0</v>
      </c>
      <c r="D95" s="13">
        <f t="shared" si="2"/>
        <v>0.02988935983</v>
      </c>
      <c r="E95" s="5">
        <v>2172.0</v>
      </c>
      <c r="F95" s="14">
        <f t="shared" si="3"/>
        <v>1.390492634</v>
      </c>
      <c r="G95" s="14">
        <f t="shared" si="4"/>
        <v>41.56093466</v>
      </c>
      <c r="H95" s="4">
        <v>3020.15</v>
      </c>
      <c r="I95" s="13">
        <f t="shared" si="5"/>
        <v>0.02348066298</v>
      </c>
      <c r="J95" s="3">
        <v>51.0</v>
      </c>
      <c r="K95" s="14">
        <f t="shared" si="6"/>
        <v>127.2223529</v>
      </c>
      <c r="L95" s="4">
        <v>6488.34</v>
      </c>
      <c r="M95" s="15">
        <f t="shared" si="7"/>
        <v>2.148350248</v>
      </c>
    </row>
    <row r="96">
      <c r="A96" s="2">
        <v>45021.0</v>
      </c>
      <c r="B96" s="12">
        <f t="shared" si="1"/>
        <v>4</v>
      </c>
      <c r="C96" s="3">
        <v>19183.0</v>
      </c>
      <c r="D96" s="13">
        <f t="shared" si="2"/>
        <v>0.02335401136</v>
      </c>
      <c r="E96" s="3">
        <v>448.0</v>
      </c>
      <c r="F96" s="14">
        <f t="shared" si="3"/>
        <v>1.703325893</v>
      </c>
      <c r="G96" s="14">
        <f t="shared" si="4"/>
        <v>39.77949226</v>
      </c>
      <c r="H96" s="4">
        <v>763.09</v>
      </c>
      <c r="I96" s="13">
        <f t="shared" si="5"/>
        <v>0.015625</v>
      </c>
      <c r="J96" s="3">
        <v>7.0</v>
      </c>
      <c r="K96" s="14">
        <f t="shared" si="6"/>
        <v>103.3457143</v>
      </c>
      <c r="L96" s="4">
        <v>723.42</v>
      </c>
      <c r="M96" s="15">
        <f t="shared" si="7"/>
        <v>0.9480139957</v>
      </c>
    </row>
    <row r="97">
      <c r="A97" s="2">
        <v>45022.0</v>
      </c>
      <c r="B97" s="12">
        <f t="shared" si="1"/>
        <v>4</v>
      </c>
      <c r="C97" s="3">
        <v>95464.0</v>
      </c>
      <c r="D97" s="13">
        <f t="shared" si="2"/>
        <v>0.01869814799</v>
      </c>
      <c r="E97" s="5">
        <v>1785.0</v>
      </c>
      <c r="F97" s="14">
        <f t="shared" si="3"/>
        <v>1.570151261</v>
      </c>
      <c r="G97" s="14">
        <f t="shared" si="4"/>
        <v>29.35892064</v>
      </c>
      <c r="H97" s="4">
        <v>2802.72</v>
      </c>
      <c r="I97" s="13">
        <f t="shared" si="5"/>
        <v>0.01792717087</v>
      </c>
      <c r="J97" s="3">
        <v>32.0</v>
      </c>
      <c r="K97" s="14">
        <f t="shared" si="6"/>
        <v>154.998125</v>
      </c>
      <c r="L97" s="4">
        <v>4959.94</v>
      </c>
      <c r="M97" s="15">
        <f t="shared" si="7"/>
        <v>1.769688017</v>
      </c>
    </row>
    <row r="98">
      <c r="A98" s="2">
        <v>45023.0</v>
      </c>
      <c r="B98" s="12">
        <f t="shared" si="1"/>
        <v>4</v>
      </c>
      <c r="C98" s="3">
        <v>81947.0</v>
      </c>
      <c r="D98" s="13">
        <f t="shared" si="2"/>
        <v>0.02579716158</v>
      </c>
      <c r="E98" s="5">
        <v>2114.0</v>
      </c>
      <c r="F98" s="14">
        <f t="shared" si="3"/>
        <v>1.730189215</v>
      </c>
      <c r="G98" s="14">
        <f t="shared" si="4"/>
        <v>44.63397074</v>
      </c>
      <c r="H98" s="4">
        <v>3657.62</v>
      </c>
      <c r="I98" s="13">
        <f t="shared" si="5"/>
        <v>0.02034058657</v>
      </c>
      <c r="J98" s="3">
        <v>43.0</v>
      </c>
      <c r="K98" s="14">
        <f t="shared" si="6"/>
        <v>151.6495349</v>
      </c>
      <c r="L98" s="4">
        <v>6520.93</v>
      </c>
      <c r="M98" s="15">
        <f t="shared" si="7"/>
        <v>1.782834193</v>
      </c>
    </row>
    <row r="99">
      <c r="A99" s="2">
        <v>45024.0</v>
      </c>
      <c r="B99" s="12">
        <f t="shared" si="1"/>
        <v>4</v>
      </c>
      <c r="C99" s="3">
        <v>82060.0</v>
      </c>
      <c r="D99" s="13">
        <f t="shared" si="2"/>
        <v>0.02349500366</v>
      </c>
      <c r="E99" s="5">
        <v>1928.0</v>
      </c>
      <c r="F99" s="14">
        <f t="shared" si="3"/>
        <v>1.960414938</v>
      </c>
      <c r="G99" s="14">
        <f t="shared" si="4"/>
        <v>46.05995613</v>
      </c>
      <c r="H99" s="4">
        <v>3779.68</v>
      </c>
      <c r="I99" s="13">
        <f t="shared" si="5"/>
        <v>0.01504149378</v>
      </c>
      <c r="J99" s="3">
        <v>29.0</v>
      </c>
      <c r="K99" s="14">
        <f t="shared" si="6"/>
        <v>194.0644828</v>
      </c>
      <c r="L99" s="4">
        <v>5627.87</v>
      </c>
      <c r="M99" s="15">
        <f t="shared" si="7"/>
        <v>1.488980549</v>
      </c>
    </row>
    <row r="100">
      <c r="A100" s="2">
        <v>45025.0</v>
      </c>
      <c r="B100" s="12">
        <f t="shared" si="1"/>
        <v>4</v>
      </c>
      <c r="C100" s="3">
        <v>56322.0</v>
      </c>
      <c r="D100" s="13">
        <f t="shared" si="2"/>
        <v>0.01059976563</v>
      </c>
      <c r="E100" s="3">
        <v>597.0</v>
      </c>
      <c r="F100" s="14">
        <f t="shared" si="3"/>
        <v>1.42001675</v>
      </c>
      <c r="G100" s="14">
        <f t="shared" si="4"/>
        <v>15.05184475</v>
      </c>
      <c r="H100" s="4">
        <v>847.75</v>
      </c>
      <c r="I100" s="13">
        <f t="shared" si="5"/>
        <v>0.02010050251</v>
      </c>
      <c r="J100" s="3">
        <v>12.0</v>
      </c>
      <c r="K100" s="14">
        <f t="shared" si="6"/>
        <v>110.2083333</v>
      </c>
      <c r="L100" s="4">
        <v>1322.5</v>
      </c>
      <c r="M100" s="15">
        <f t="shared" si="7"/>
        <v>1.560011796</v>
      </c>
    </row>
    <row r="101">
      <c r="A101" s="2">
        <v>45026.0</v>
      </c>
      <c r="B101" s="12">
        <f t="shared" si="1"/>
        <v>4</v>
      </c>
      <c r="C101" s="3">
        <v>49678.0</v>
      </c>
      <c r="D101" s="13">
        <f t="shared" si="2"/>
        <v>0.01749265268</v>
      </c>
      <c r="E101" s="3">
        <v>869.0</v>
      </c>
      <c r="F101" s="14">
        <f t="shared" si="3"/>
        <v>1.300540852</v>
      </c>
      <c r="G101" s="14">
        <f t="shared" si="4"/>
        <v>22.74990942</v>
      </c>
      <c r="H101" s="4">
        <v>1130.17</v>
      </c>
      <c r="I101" s="13">
        <f t="shared" si="5"/>
        <v>0.01380897583</v>
      </c>
      <c r="J101" s="3">
        <v>12.0</v>
      </c>
      <c r="K101" s="14">
        <f t="shared" si="6"/>
        <v>146.0175</v>
      </c>
      <c r="L101" s="4">
        <v>1752.21</v>
      </c>
      <c r="M101" s="15">
        <f t="shared" si="7"/>
        <v>1.550395073</v>
      </c>
    </row>
    <row r="102">
      <c r="A102" s="2">
        <v>45027.0</v>
      </c>
      <c r="B102" s="12">
        <f t="shared" si="1"/>
        <v>4</v>
      </c>
      <c r="C102" s="3">
        <v>72964.0</v>
      </c>
      <c r="D102" s="13">
        <f t="shared" si="2"/>
        <v>0.02679403541</v>
      </c>
      <c r="E102" s="5">
        <v>1955.0</v>
      </c>
      <c r="F102" s="14">
        <f t="shared" si="3"/>
        <v>1.33029156</v>
      </c>
      <c r="G102" s="14">
        <f t="shared" si="4"/>
        <v>35.64387917</v>
      </c>
      <c r="H102" s="4">
        <v>2600.72</v>
      </c>
      <c r="I102" s="13">
        <f t="shared" si="5"/>
        <v>0.0189258312</v>
      </c>
      <c r="J102" s="3">
        <v>37.0</v>
      </c>
      <c r="K102" s="14">
        <f t="shared" si="6"/>
        <v>191.7278378</v>
      </c>
      <c r="L102" s="4">
        <v>7093.93</v>
      </c>
      <c r="M102" s="15">
        <f t="shared" si="7"/>
        <v>2.727679258</v>
      </c>
    </row>
    <row r="103">
      <c r="A103" s="2">
        <v>45028.0</v>
      </c>
      <c r="B103" s="12">
        <f t="shared" si="1"/>
        <v>4</v>
      </c>
      <c r="C103" s="3">
        <v>94115.0</v>
      </c>
      <c r="D103" s="13">
        <f t="shared" si="2"/>
        <v>0.01769112256</v>
      </c>
      <c r="E103" s="5">
        <v>1665.0</v>
      </c>
      <c r="F103" s="14">
        <f t="shared" si="3"/>
        <v>1.230612613</v>
      </c>
      <c r="G103" s="14">
        <f t="shared" si="4"/>
        <v>21.77091856</v>
      </c>
      <c r="H103" s="4">
        <v>2048.97</v>
      </c>
      <c r="I103" s="13">
        <f t="shared" si="5"/>
        <v>0.01261261261</v>
      </c>
      <c r="J103" s="3">
        <v>21.0</v>
      </c>
      <c r="K103" s="14">
        <f t="shared" si="6"/>
        <v>112.832381</v>
      </c>
      <c r="L103" s="4">
        <v>2369.48</v>
      </c>
      <c r="M103" s="15">
        <f t="shared" si="7"/>
        <v>1.156424935</v>
      </c>
    </row>
    <row r="104">
      <c r="A104" s="2">
        <v>45029.0</v>
      </c>
      <c r="B104" s="12">
        <f t="shared" si="1"/>
        <v>4</v>
      </c>
      <c r="C104" s="3">
        <v>20642.0</v>
      </c>
      <c r="D104" s="13">
        <f t="shared" si="2"/>
        <v>0.02097664955</v>
      </c>
      <c r="E104" s="3">
        <v>433.0</v>
      </c>
      <c r="F104" s="14">
        <f t="shared" si="3"/>
        <v>1.69187067</v>
      </c>
      <c r="G104" s="14">
        <f t="shared" si="4"/>
        <v>35.48977812</v>
      </c>
      <c r="H104" s="4">
        <v>732.58</v>
      </c>
      <c r="I104" s="13">
        <f t="shared" si="5"/>
        <v>0.01385681293</v>
      </c>
      <c r="J104" s="3">
        <v>6.0</v>
      </c>
      <c r="K104" s="14">
        <f t="shared" si="6"/>
        <v>151.1766667</v>
      </c>
      <c r="L104" s="4">
        <v>907.06</v>
      </c>
      <c r="M104" s="15">
        <f t="shared" si="7"/>
        <v>1.23817194</v>
      </c>
    </row>
    <row r="105">
      <c r="A105" s="2">
        <v>45030.0</v>
      </c>
      <c r="B105" s="12">
        <f t="shared" si="1"/>
        <v>4</v>
      </c>
      <c r="C105" s="3">
        <v>79972.0</v>
      </c>
      <c r="D105" s="13">
        <f t="shared" si="2"/>
        <v>0.01259190717</v>
      </c>
      <c r="E105" s="5">
        <v>1007.0</v>
      </c>
      <c r="F105" s="14">
        <f t="shared" si="3"/>
        <v>1.430913605</v>
      </c>
      <c r="G105" s="14">
        <f t="shared" si="4"/>
        <v>18.01793128</v>
      </c>
      <c r="H105" s="4">
        <v>1440.93</v>
      </c>
      <c r="I105" s="13">
        <f t="shared" si="5"/>
        <v>0.02085402185</v>
      </c>
      <c r="J105" s="3">
        <v>21.0</v>
      </c>
      <c r="K105" s="14">
        <f t="shared" si="6"/>
        <v>156.6557143</v>
      </c>
      <c r="L105" s="4">
        <v>3289.77</v>
      </c>
      <c r="M105" s="15">
        <f t="shared" si="7"/>
        <v>2.283088006</v>
      </c>
    </row>
    <row r="106">
      <c r="A106" s="2">
        <v>45031.0</v>
      </c>
      <c r="B106" s="12">
        <f t="shared" si="1"/>
        <v>4</v>
      </c>
      <c r="C106" s="3">
        <v>93812.0</v>
      </c>
      <c r="D106" s="13">
        <f t="shared" si="2"/>
        <v>0.02109538225</v>
      </c>
      <c r="E106" s="5">
        <v>1979.0</v>
      </c>
      <c r="F106" s="14">
        <f t="shared" si="3"/>
        <v>1.98042951</v>
      </c>
      <c r="G106" s="14">
        <f t="shared" si="4"/>
        <v>41.77791754</v>
      </c>
      <c r="H106" s="4">
        <v>3919.27</v>
      </c>
      <c r="I106" s="13">
        <f t="shared" si="5"/>
        <v>0.01819100556</v>
      </c>
      <c r="J106" s="3">
        <v>36.0</v>
      </c>
      <c r="K106" s="14">
        <f t="shared" si="6"/>
        <v>169.0436111</v>
      </c>
      <c r="L106" s="4">
        <v>6085.57</v>
      </c>
      <c r="M106" s="15">
        <f t="shared" si="7"/>
        <v>1.552730483</v>
      </c>
    </row>
    <row r="107">
      <c r="A107" s="2">
        <v>45032.0</v>
      </c>
      <c r="B107" s="12">
        <f t="shared" si="1"/>
        <v>4</v>
      </c>
      <c r="C107" s="3">
        <v>22628.0</v>
      </c>
      <c r="D107" s="13">
        <f t="shared" si="2"/>
        <v>0.01586529963</v>
      </c>
      <c r="E107" s="3">
        <v>359.0</v>
      </c>
      <c r="F107" s="14">
        <f t="shared" si="3"/>
        <v>1.102395543</v>
      </c>
      <c r="G107" s="14">
        <f t="shared" si="4"/>
        <v>17.4898356</v>
      </c>
      <c r="H107" s="4">
        <v>395.76</v>
      </c>
      <c r="I107" s="13">
        <f t="shared" si="5"/>
        <v>0.02228412256</v>
      </c>
      <c r="J107" s="3">
        <v>8.0</v>
      </c>
      <c r="K107" s="14">
        <f t="shared" si="6"/>
        <v>163.73875</v>
      </c>
      <c r="L107" s="4">
        <v>1309.91</v>
      </c>
      <c r="M107" s="15">
        <f t="shared" si="7"/>
        <v>3.309859511</v>
      </c>
    </row>
    <row r="108">
      <c r="A108" s="2">
        <v>45033.0</v>
      </c>
      <c r="B108" s="12">
        <f t="shared" si="1"/>
        <v>4</v>
      </c>
      <c r="C108" s="3">
        <v>87129.0</v>
      </c>
      <c r="D108" s="13">
        <f t="shared" si="2"/>
        <v>0.01209700559</v>
      </c>
      <c r="E108" s="5">
        <v>1054.0</v>
      </c>
      <c r="F108" s="14">
        <f t="shared" si="3"/>
        <v>1.730426945</v>
      </c>
      <c r="G108" s="14">
        <f t="shared" si="4"/>
        <v>20.93298443</v>
      </c>
      <c r="H108" s="4">
        <v>1823.87</v>
      </c>
      <c r="I108" s="13">
        <f t="shared" si="5"/>
        <v>0.01897533207</v>
      </c>
      <c r="J108" s="3">
        <v>20.0</v>
      </c>
      <c r="K108" s="14">
        <f t="shared" si="6"/>
        <v>177.938</v>
      </c>
      <c r="L108" s="4">
        <v>3558.76</v>
      </c>
      <c r="M108" s="15">
        <f t="shared" si="7"/>
        <v>1.951213628</v>
      </c>
    </row>
    <row r="109">
      <c r="A109" s="2">
        <v>45034.0</v>
      </c>
      <c r="B109" s="12">
        <f t="shared" si="1"/>
        <v>4</v>
      </c>
      <c r="C109" s="3">
        <v>95649.0</v>
      </c>
      <c r="D109" s="13">
        <f t="shared" si="2"/>
        <v>0.01899653943</v>
      </c>
      <c r="E109" s="5">
        <v>1817.0</v>
      </c>
      <c r="F109" s="14">
        <f t="shared" si="3"/>
        <v>1.420258668</v>
      </c>
      <c r="G109" s="14">
        <f t="shared" si="4"/>
        <v>26.97999979</v>
      </c>
      <c r="H109" s="4">
        <v>2580.61</v>
      </c>
      <c r="I109" s="13">
        <f t="shared" si="5"/>
        <v>0.02476609796</v>
      </c>
      <c r="J109" s="3">
        <v>45.0</v>
      </c>
      <c r="K109" s="14">
        <f t="shared" si="6"/>
        <v>137.7657778</v>
      </c>
      <c r="L109" s="4">
        <v>6199.46</v>
      </c>
      <c r="M109" s="15">
        <f t="shared" si="7"/>
        <v>2.402323482</v>
      </c>
    </row>
    <row r="110">
      <c r="A110" s="2">
        <v>45035.0</v>
      </c>
      <c r="B110" s="12">
        <f t="shared" si="1"/>
        <v>4</v>
      </c>
      <c r="C110" s="3">
        <v>21527.0</v>
      </c>
      <c r="D110" s="13">
        <f t="shared" si="2"/>
        <v>0.0184884099</v>
      </c>
      <c r="E110" s="3">
        <v>398.0</v>
      </c>
      <c r="F110" s="14">
        <f t="shared" si="3"/>
        <v>1.861155779</v>
      </c>
      <c r="G110" s="14">
        <f t="shared" si="4"/>
        <v>34.40981094</v>
      </c>
      <c r="H110" s="4">
        <v>740.74</v>
      </c>
      <c r="I110" s="13">
        <f t="shared" si="5"/>
        <v>0.01005025126</v>
      </c>
      <c r="J110" s="3">
        <v>4.0</v>
      </c>
      <c r="K110" s="14">
        <f t="shared" si="6"/>
        <v>181.7025</v>
      </c>
      <c r="L110" s="4">
        <v>726.81</v>
      </c>
      <c r="M110" s="15">
        <f t="shared" si="7"/>
        <v>0.9811944812</v>
      </c>
    </row>
    <row r="111">
      <c r="A111" s="2">
        <v>45036.0</v>
      </c>
      <c r="B111" s="12">
        <f t="shared" si="1"/>
        <v>4</v>
      </c>
      <c r="C111" s="3">
        <v>43354.0</v>
      </c>
      <c r="D111" s="13">
        <f t="shared" si="2"/>
        <v>0.01649213452</v>
      </c>
      <c r="E111" s="3">
        <v>715.0</v>
      </c>
      <c r="F111" s="14">
        <f t="shared" si="3"/>
        <v>1.770839161</v>
      </c>
      <c r="G111" s="14">
        <f t="shared" si="4"/>
        <v>29.20491765</v>
      </c>
      <c r="H111" s="4">
        <v>1266.15</v>
      </c>
      <c r="I111" s="13">
        <f t="shared" si="5"/>
        <v>0.02377622378</v>
      </c>
      <c r="J111" s="3">
        <v>17.0</v>
      </c>
      <c r="K111" s="14">
        <f t="shared" si="6"/>
        <v>192.5358824</v>
      </c>
      <c r="L111" s="4">
        <v>3273.11</v>
      </c>
      <c r="M111" s="15">
        <f t="shared" si="7"/>
        <v>2.585088655</v>
      </c>
    </row>
    <row r="112">
      <c r="A112" s="2">
        <v>45037.0</v>
      </c>
      <c r="B112" s="12">
        <f t="shared" si="1"/>
        <v>4</v>
      </c>
      <c r="C112" s="3">
        <v>84934.0</v>
      </c>
      <c r="D112" s="13">
        <f t="shared" si="2"/>
        <v>0.02779805496</v>
      </c>
      <c r="E112" s="5">
        <v>2361.0</v>
      </c>
      <c r="F112" s="14">
        <f t="shared" si="3"/>
        <v>1.450097416</v>
      </c>
      <c r="G112" s="14">
        <f t="shared" si="4"/>
        <v>40.30988768</v>
      </c>
      <c r="H112" s="4">
        <v>3423.68</v>
      </c>
      <c r="I112" s="13">
        <f t="shared" si="5"/>
        <v>0.02371876324</v>
      </c>
      <c r="J112" s="3">
        <v>56.0</v>
      </c>
      <c r="K112" s="14">
        <f t="shared" si="6"/>
        <v>178.6221429</v>
      </c>
      <c r="L112" s="4">
        <v>10002.84</v>
      </c>
      <c r="M112" s="15">
        <f t="shared" si="7"/>
        <v>2.92166324</v>
      </c>
    </row>
    <row r="113">
      <c r="A113" s="2">
        <v>45038.0</v>
      </c>
      <c r="B113" s="12">
        <f t="shared" si="1"/>
        <v>4</v>
      </c>
      <c r="C113" s="3">
        <v>84996.0</v>
      </c>
      <c r="D113" s="13">
        <f t="shared" si="2"/>
        <v>0.02318932656</v>
      </c>
      <c r="E113" s="5">
        <v>1971.0</v>
      </c>
      <c r="F113" s="14">
        <f t="shared" si="3"/>
        <v>1.880862506</v>
      </c>
      <c r="G113" s="14">
        <f t="shared" si="4"/>
        <v>43.61593487</v>
      </c>
      <c r="H113" s="4">
        <v>3707.18</v>
      </c>
      <c r="I113" s="13">
        <f t="shared" si="5"/>
        <v>0.01369863014</v>
      </c>
      <c r="J113" s="3">
        <v>27.0</v>
      </c>
      <c r="K113" s="14">
        <f t="shared" si="6"/>
        <v>170.9425926</v>
      </c>
      <c r="L113" s="4">
        <v>4615.45</v>
      </c>
      <c r="M113" s="15">
        <f t="shared" si="7"/>
        <v>1.24500294</v>
      </c>
    </row>
    <row r="114">
      <c r="A114" s="2">
        <v>45039.0</v>
      </c>
      <c r="B114" s="12">
        <f t="shared" si="1"/>
        <v>4</v>
      </c>
      <c r="C114" s="3">
        <v>83171.0</v>
      </c>
      <c r="D114" s="13">
        <f t="shared" si="2"/>
        <v>0.02479229539</v>
      </c>
      <c r="E114" s="5">
        <v>2062.0</v>
      </c>
      <c r="F114" s="14">
        <f t="shared" si="3"/>
        <v>1.000310378</v>
      </c>
      <c r="G114" s="14">
        <f t="shared" si="4"/>
        <v>24.79999038</v>
      </c>
      <c r="H114" s="4">
        <v>2062.64</v>
      </c>
      <c r="I114" s="13">
        <f t="shared" si="5"/>
        <v>0.0193986421</v>
      </c>
      <c r="J114" s="3">
        <v>40.0</v>
      </c>
      <c r="K114" s="14">
        <f t="shared" si="6"/>
        <v>150.5935</v>
      </c>
      <c r="L114" s="4">
        <v>6023.74</v>
      </c>
      <c r="M114" s="15">
        <f t="shared" si="7"/>
        <v>2.920402979</v>
      </c>
    </row>
    <row r="115">
      <c r="A115" s="2">
        <v>45040.0</v>
      </c>
      <c r="B115" s="12">
        <f t="shared" si="1"/>
        <v>4</v>
      </c>
      <c r="C115" s="3">
        <v>95234.0</v>
      </c>
      <c r="D115" s="13">
        <f t="shared" si="2"/>
        <v>0.0106999601</v>
      </c>
      <c r="E115" s="5">
        <v>1019.0</v>
      </c>
      <c r="F115" s="14">
        <f t="shared" si="3"/>
        <v>1.93</v>
      </c>
      <c r="G115" s="14">
        <f t="shared" si="4"/>
        <v>20.65092299</v>
      </c>
      <c r="H115" s="4">
        <v>1966.67</v>
      </c>
      <c r="I115" s="13">
        <f t="shared" si="5"/>
        <v>0.02453385672</v>
      </c>
      <c r="J115" s="3">
        <v>25.0</v>
      </c>
      <c r="K115" s="14">
        <f t="shared" si="6"/>
        <v>155.4184</v>
      </c>
      <c r="L115" s="4">
        <v>3885.46</v>
      </c>
      <c r="M115" s="15">
        <f t="shared" si="7"/>
        <v>1.975654279</v>
      </c>
    </row>
    <row r="116">
      <c r="A116" s="2">
        <v>45041.0</v>
      </c>
      <c r="B116" s="12">
        <f t="shared" si="1"/>
        <v>4</v>
      </c>
      <c r="C116" s="3">
        <v>45282.0</v>
      </c>
      <c r="D116" s="13">
        <f t="shared" si="2"/>
        <v>0.02298926726</v>
      </c>
      <c r="E116" s="5">
        <v>1041.0</v>
      </c>
      <c r="F116" s="14">
        <f t="shared" si="3"/>
        <v>2.000931796</v>
      </c>
      <c r="G116" s="14">
        <f t="shared" si="4"/>
        <v>45.99995583</v>
      </c>
      <c r="H116" s="4">
        <v>2082.97</v>
      </c>
      <c r="I116" s="13">
        <f t="shared" si="5"/>
        <v>0.02401536984</v>
      </c>
      <c r="J116" s="3">
        <v>25.0</v>
      </c>
      <c r="K116" s="14">
        <f t="shared" si="6"/>
        <v>180.0728</v>
      </c>
      <c r="L116" s="4">
        <v>4501.82</v>
      </c>
      <c r="M116" s="15">
        <f t="shared" si="7"/>
        <v>2.161250522</v>
      </c>
    </row>
    <row r="117">
      <c r="A117" s="2">
        <v>45042.0</v>
      </c>
      <c r="B117" s="12">
        <f t="shared" si="1"/>
        <v>4</v>
      </c>
      <c r="C117" s="3">
        <v>77080.0</v>
      </c>
      <c r="D117" s="13">
        <f t="shared" si="2"/>
        <v>0.01249351323</v>
      </c>
      <c r="E117" s="3">
        <v>963.0</v>
      </c>
      <c r="F117" s="14">
        <f t="shared" si="3"/>
        <v>1.800934579</v>
      </c>
      <c r="G117" s="14">
        <f t="shared" si="4"/>
        <v>22.5</v>
      </c>
      <c r="H117" s="4">
        <v>1734.3</v>
      </c>
      <c r="I117" s="13">
        <f t="shared" si="5"/>
        <v>0.02076843198</v>
      </c>
      <c r="J117" s="3">
        <v>20.0</v>
      </c>
      <c r="K117" s="14">
        <f t="shared" si="6"/>
        <v>174.5815</v>
      </c>
      <c r="L117" s="4">
        <v>3491.63</v>
      </c>
      <c r="M117" s="15">
        <f t="shared" si="7"/>
        <v>2.013279133</v>
      </c>
    </row>
    <row r="118">
      <c r="A118" s="2">
        <v>45043.0</v>
      </c>
      <c r="B118" s="12">
        <f t="shared" si="1"/>
        <v>4</v>
      </c>
      <c r="C118" s="3">
        <v>26490.0</v>
      </c>
      <c r="D118" s="13">
        <f t="shared" si="2"/>
        <v>0.02076255191</v>
      </c>
      <c r="E118" s="3">
        <v>550.0</v>
      </c>
      <c r="F118" s="14">
        <f t="shared" si="3"/>
        <v>1.843309091</v>
      </c>
      <c r="G118" s="14">
        <f t="shared" si="4"/>
        <v>38.27180068</v>
      </c>
      <c r="H118" s="4">
        <v>1013.82</v>
      </c>
      <c r="I118" s="13">
        <f t="shared" si="5"/>
        <v>0.01636363636</v>
      </c>
      <c r="J118" s="3">
        <v>9.0</v>
      </c>
      <c r="K118" s="14">
        <f t="shared" si="6"/>
        <v>134.1477778</v>
      </c>
      <c r="L118" s="4">
        <v>1207.33</v>
      </c>
      <c r="M118" s="15">
        <f t="shared" si="7"/>
        <v>1.190872147</v>
      </c>
    </row>
    <row r="119">
      <c r="A119" s="2">
        <v>45044.0</v>
      </c>
      <c r="B119" s="12">
        <f t="shared" si="1"/>
        <v>4</v>
      </c>
      <c r="C119" s="3">
        <v>62976.0</v>
      </c>
      <c r="D119" s="13">
        <f t="shared" si="2"/>
        <v>0.01109946646</v>
      </c>
      <c r="E119" s="3">
        <v>699.0</v>
      </c>
      <c r="F119" s="14">
        <f t="shared" si="3"/>
        <v>1.190042918</v>
      </c>
      <c r="G119" s="14">
        <f t="shared" si="4"/>
        <v>13.20884146</v>
      </c>
      <c r="H119" s="4">
        <v>831.84</v>
      </c>
      <c r="I119" s="13">
        <f t="shared" si="5"/>
        <v>0.01859799714</v>
      </c>
      <c r="J119" s="3">
        <v>13.0</v>
      </c>
      <c r="K119" s="14">
        <f t="shared" si="6"/>
        <v>175.2961538</v>
      </c>
      <c r="L119" s="4">
        <v>2278.85</v>
      </c>
      <c r="M119" s="15">
        <f t="shared" si="7"/>
        <v>2.739529236</v>
      </c>
    </row>
    <row r="120">
      <c r="A120" s="2">
        <v>45045.0</v>
      </c>
      <c r="B120" s="12">
        <f t="shared" si="1"/>
        <v>4</v>
      </c>
      <c r="C120" s="3">
        <v>40110.0</v>
      </c>
      <c r="D120" s="13">
        <f t="shared" si="2"/>
        <v>0.02099227125</v>
      </c>
      <c r="E120" s="3">
        <v>842.0</v>
      </c>
      <c r="F120" s="14">
        <f t="shared" si="3"/>
        <v>1.310475059</v>
      </c>
      <c r="G120" s="14">
        <f t="shared" si="4"/>
        <v>27.50984792</v>
      </c>
      <c r="H120" s="4">
        <v>1103.42</v>
      </c>
      <c r="I120" s="13">
        <f t="shared" si="5"/>
        <v>0.01781472684</v>
      </c>
      <c r="J120" s="3">
        <v>15.0</v>
      </c>
      <c r="K120" s="14">
        <f t="shared" si="6"/>
        <v>134.6906667</v>
      </c>
      <c r="L120" s="4">
        <v>2020.36</v>
      </c>
      <c r="M120" s="15">
        <f t="shared" si="7"/>
        <v>1.830998169</v>
      </c>
    </row>
    <row r="121">
      <c r="A121" s="2">
        <v>45046.0</v>
      </c>
      <c r="B121" s="12">
        <f t="shared" si="1"/>
        <v>4</v>
      </c>
      <c r="C121" s="3">
        <v>67890.0</v>
      </c>
      <c r="D121" s="13">
        <f t="shared" si="2"/>
        <v>0.01998821623</v>
      </c>
      <c r="E121" s="5">
        <v>1357.0</v>
      </c>
      <c r="F121" s="14">
        <f t="shared" si="3"/>
        <v>1.72100958</v>
      </c>
      <c r="G121" s="14">
        <f t="shared" si="4"/>
        <v>34.39991162</v>
      </c>
      <c r="H121" s="4">
        <v>2335.41</v>
      </c>
      <c r="I121" s="13">
        <f t="shared" si="5"/>
        <v>0.01842299189</v>
      </c>
      <c r="J121" s="3">
        <v>25.0</v>
      </c>
      <c r="K121" s="14">
        <f t="shared" si="6"/>
        <v>132.63</v>
      </c>
      <c r="L121" s="4">
        <v>3315.75</v>
      </c>
      <c r="M121" s="15">
        <f t="shared" si="7"/>
        <v>1.419772117</v>
      </c>
    </row>
    <row r="122">
      <c r="A122" s="2">
        <v>45047.0</v>
      </c>
      <c r="B122" s="12">
        <f t="shared" si="1"/>
        <v>5</v>
      </c>
      <c r="C122" s="3">
        <v>12671.0</v>
      </c>
      <c r="D122" s="13">
        <f t="shared" si="2"/>
        <v>0.01728356089</v>
      </c>
      <c r="E122" s="3">
        <v>219.0</v>
      </c>
      <c r="F122" s="14">
        <f t="shared" si="3"/>
        <v>1.491415525</v>
      </c>
      <c r="G122" s="14">
        <f t="shared" si="4"/>
        <v>25.77697104</v>
      </c>
      <c r="H122" s="4">
        <v>326.62</v>
      </c>
      <c r="I122" s="13">
        <f t="shared" si="5"/>
        <v>0.01826484018</v>
      </c>
      <c r="J122" s="3">
        <v>4.0</v>
      </c>
      <c r="K122" s="14">
        <f t="shared" si="6"/>
        <v>147.965</v>
      </c>
      <c r="L122" s="4">
        <v>591.86</v>
      </c>
      <c r="M122" s="15">
        <f t="shared" si="7"/>
        <v>1.812075194</v>
      </c>
    </row>
    <row r="123">
      <c r="A123" s="2">
        <v>45048.0</v>
      </c>
      <c r="B123" s="12">
        <f t="shared" si="1"/>
        <v>5</v>
      </c>
      <c r="C123" s="3">
        <v>94264.0</v>
      </c>
      <c r="D123" s="13">
        <f t="shared" si="2"/>
        <v>0.01379105491</v>
      </c>
      <c r="E123" s="5">
        <v>1300.0</v>
      </c>
      <c r="F123" s="14">
        <f t="shared" si="3"/>
        <v>1.340861538</v>
      </c>
      <c r="G123" s="14">
        <f t="shared" si="4"/>
        <v>18.4918951</v>
      </c>
      <c r="H123" s="4">
        <v>1743.12</v>
      </c>
      <c r="I123" s="13">
        <f t="shared" si="5"/>
        <v>0.01846153846</v>
      </c>
      <c r="J123" s="3">
        <v>24.0</v>
      </c>
      <c r="K123" s="14">
        <f t="shared" si="6"/>
        <v>112.0891667</v>
      </c>
      <c r="L123" s="4">
        <v>2690.14</v>
      </c>
      <c r="M123" s="15">
        <f t="shared" si="7"/>
        <v>1.543290192</v>
      </c>
    </row>
    <row r="124">
      <c r="A124" s="2">
        <v>45049.0</v>
      </c>
      <c r="B124" s="12">
        <f t="shared" si="1"/>
        <v>5</v>
      </c>
      <c r="C124" s="3">
        <v>59532.0</v>
      </c>
      <c r="D124" s="13">
        <f t="shared" si="2"/>
        <v>0.02309682188</v>
      </c>
      <c r="E124" s="5">
        <v>1375.0</v>
      </c>
      <c r="F124" s="14">
        <f t="shared" si="3"/>
        <v>1.610218182</v>
      </c>
      <c r="G124" s="14">
        <f t="shared" si="4"/>
        <v>37.19092253</v>
      </c>
      <c r="H124" s="4">
        <v>2214.05</v>
      </c>
      <c r="I124" s="13">
        <f t="shared" si="5"/>
        <v>0.01963636364</v>
      </c>
      <c r="J124" s="3">
        <v>27.0</v>
      </c>
      <c r="K124" s="14">
        <f t="shared" si="6"/>
        <v>131.0403704</v>
      </c>
      <c r="L124" s="4">
        <v>3538.09</v>
      </c>
      <c r="M124" s="15">
        <f t="shared" si="7"/>
        <v>1.598017208</v>
      </c>
    </row>
    <row r="125">
      <c r="A125" s="2">
        <v>45050.0</v>
      </c>
      <c r="B125" s="12">
        <f t="shared" si="1"/>
        <v>5</v>
      </c>
      <c r="C125" s="3">
        <v>51990.0</v>
      </c>
      <c r="D125" s="13">
        <f t="shared" si="2"/>
        <v>0.02588959415</v>
      </c>
      <c r="E125" s="5">
        <v>1346.0</v>
      </c>
      <c r="F125" s="14">
        <f t="shared" si="3"/>
        <v>1.540616642</v>
      </c>
      <c r="G125" s="14">
        <f t="shared" si="4"/>
        <v>39.8859396</v>
      </c>
      <c r="H125" s="4">
        <v>2073.67</v>
      </c>
      <c r="I125" s="13">
        <f t="shared" si="5"/>
        <v>0.02080237741</v>
      </c>
      <c r="J125" s="3">
        <v>28.0</v>
      </c>
      <c r="K125" s="14">
        <f t="shared" si="6"/>
        <v>165.6246429</v>
      </c>
      <c r="L125" s="4">
        <v>4637.49</v>
      </c>
      <c r="M125" s="15">
        <f t="shared" si="7"/>
        <v>2.236368371</v>
      </c>
    </row>
    <row r="126">
      <c r="A126" s="2">
        <v>45051.0</v>
      </c>
      <c r="B126" s="12">
        <f t="shared" si="1"/>
        <v>5</v>
      </c>
      <c r="C126" s="3">
        <v>88738.0</v>
      </c>
      <c r="D126" s="13">
        <f t="shared" si="2"/>
        <v>0.01979986026</v>
      </c>
      <c r="E126" s="5">
        <v>1757.0</v>
      </c>
      <c r="F126" s="14">
        <f t="shared" si="3"/>
        <v>1.740011383</v>
      </c>
      <c r="G126" s="14">
        <f t="shared" si="4"/>
        <v>34.45198224</v>
      </c>
      <c r="H126" s="4">
        <v>3057.2</v>
      </c>
      <c r="I126" s="13">
        <f t="shared" si="5"/>
        <v>0.02447353443</v>
      </c>
      <c r="J126" s="3">
        <v>43.0</v>
      </c>
      <c r="K126" s="14">
        <f t="shared" si="6"/>
        <v>168.8939535</v>
      </c>
      <c r="L126" s="4">
        <v>7262.44</v>
      </c>
      <c r="M126" s="15">
        <f t="shared" si="7"/>
        <v>2.375520084</v>
      </c>
    </row>
    <row r="127">
      <c r="A127" s="2">
        <v>45052.0</v>
      </c>
      <c r="B127" s="12">
        <f t="shared" si="1"/>
        <v>5</v>
      </c>
      <c r="C127" s="3">
        <v>50381.0</v>
      </c>
      <c r="D127" s="13">
        <f t="shared" si="2"/>
        <v>0.01808221353</v>
      </c>
      <c r="E127" s="3">
        <v>911.0</v>
      </c>
      <c r="F127" s="14">
        <f t="shared" si="3"/>
        <v>1.061031833</v>
      </c>
      <c r="G127" s="14">
        <f t="shared" si="4"/>
        <v>19.18580417</v>
      </c>
      <c r="H127" s="4">
        <v>966.6</v>
      </c>
      <c r="I127" s="13">
        <f t="shared" si="5"/>
        <v>0.01866081229</v>
      </c>
      <c r="J127" s="3">
        <v>17.0</v>
      </c>
      <c r="K127" s="14">
        <f t="shared" si="6"/>
        <v>161.6952941</v>
      </c>
      <c r="L127" s="4">
        <v>2748.82</v>
      </c>
      <c r="M127" s="15">
        <f t="shared" si="7"/>
        <v>2.843803021</v>
      </c>
    </row>
    <row r="128">
      <c r="A128" s="2">
        <v>45053.0</v>
      </c>
      <c r="B128" s="12">
        <f t="shared" si="1"/>
        <v>5</v>
      </c>
      <c r="C128" s="3">
        <v>70628.0</v>
      </c>
      <c r="D128" s="13">
        <f t="shared" si="2"/>
        <v>0.02559891261</v>
      </c>
      <c r="E128" s="5">
        <v>1808.0</v>
      </c>
      <c r="F128" s="14">
        <f t="shared" si="3"/>
        <v>1.970082965</v>
      </c>
      <c r="G128" s="14">
        <f t="shared" si="4"/>
        <v>50.43198165</v>
      </c>
      <c r="H128" s="4">
        <v>3561.91</v>
      </c>
      <c r="I128" s="13">
        <f t="shared" si="5"/>
        <v>0.01438053097</v>
      </c>
      <c r="J128" s="3">
        <v>26.0</v>
      </c>
      <c r="K128" s="14">
        <f t="shared" si="6"/>
        <v>115.2719231</v>
      </c>
      <c r="L128" s="4">
        <v>2997.07</v>
      </c>
      <c r="M128" s="15">
        <f t="shared" si="7"/>
        <v>0.8414221583</v>
      </c>
    </row>
    <row r="129">
      <c r="A129" s="2">
        <v>45054.0</v>
      </c>
      <c r="B129" s="12">
        <f t="shared" si="1"/>
        <v>5</v>
      </c>
      <c r="C129" s="3">
        <v>22138.0</v>
      </c>
      <c r="D129" s="13">
        <f t="shared" si="2"/>
        <v>0.02059806667</v>
      </c>
      <c r="E129" s="3">
        <v>456.0</v>
      </c>
      <c r="F129" s="14">
        <f t="shared" si="3"/>
        <v>1.260109649</v>
      </c>
      <c r="G129" s="14">
        <f t="shared" si="4"/>
        <v>25.95582257</v>
      </c>
      <c r="H129" s="4">
        <v>574.61</v>
      </c>
      <c r="I129" s="13">
        <f t="shared" si="5"/>
        <v>0.01315789474</v>
      </c>
      <c r="J129" s="3">
        <v>6.0</v>
      </c>
      <c r="K129" s="14">
        <f t="shared" si="6"/>
        <v>163.3233333</v>
      </c>
      <c r="L129" s="4">
        <v>979.94</v>
      </c>
      <c r="M129" s="15">
        <f t="shared" si="7"/>
        <v>1.705400184</v>
      </c>
    </row>
    <row r="130">
      <c r="A130" s="2">
        <v>45055.0</v>
      </c>
      <c r="B130" s="12">
        <f t="shared" si="1"/>
        <v>5</v>
      </c>
      <c r="C130" s="3">
        <v>78604.0</v>
      </c>
      <c r="D130" s="13">
        <f t="shared" si="2"/>
        <v>0.0249987278</v>
      </c>
      <c r="E130" s="5">
        <v>1965.0</v>
      </c>
      <c r="F130" s="14">
        <f t="shared" si="3"/>
        <v>1.220061069</v>
      </c>
      <c r="G130" s="14">
        <f t="shared" si="4"/>
        <v>30.49997456</v>
      </c>
      <c r="H130" s="4">
        <v>2397.42</v>
      </c>
      <c r="I130" s="13">
        <f t="shared" si="5"/>
        <v>0.02290076336</v>
      </c>
      <c r="J130" s="3">
        <v>45.0</v>
      </c>
      <c r="K130" s="14">
        <f t="shared" si="6"/>
        <v>151.3126667</v>
      </c>
      <c r="L130" s="4">
        <v>6809.07</v>
      </c>
      <c r="M130" s="15">
        <f t="shared" si="7"/>
        <v>2.840165678</v>
      </c>
    </row>
    <row r="131">
      <c r="A131" s="2">
        <v>45056.0</v>
      </c>
      <c r="B131" s="12">
        <f t="shared" si="1"/>
        <v>5</v>
      </c>
      <c r="C131" s="3">
        <v>68678.0</v>
      </c>
      <c r="D131" s="13">
        <f t="shared" si="2"/>
        <v>0.02818952212</v>
      </c>
      <c r="E131" s="5">
        <v>1936.0</v>
      </c>
      <c r="F131" s="14">
        <f t="shared" si="3"/>
        <v>1.95072314</v>
      </c>
      <c r="G131" s="14">
        <f t="shared" si="4"/>
        <v>54.98995311</v>
      </c>
      <c r="H131" s="4">
        <v>3776.6</v>
      </c>
      <c r="I131" s="13">
        <f t="shared" si="5"/>
        <v>0.02066115702</v>
      </c>
      <c r="J131" s="3">
        <v>40.0</v>
      </c>
      <c r="K131" s="14">
        <f t="shared" si="6"/>
        <v>145.3265</v>
      </c>
      <c r="L131" s="4">
        <v>5813.06</v>
      </c>
      <c r="M131" s="15">
        <f t="shared" si="7"/>
        <v>1.539231054</v>
      </c>
    </row>
    <row r="132">
      <c r="A132" s="2">
        <v>45057.0</v>
      </c>
      <c r="B132" s="12">
        <f t="shared" si="1"/>
        <v>5</v>
      </c>
      <c r="C132" s="3">
        <v>10897.0</v>
      </c>
      <c r="D132" s="13">
        <f t="shared" si="2"/>
        <v>0.02129026338</v>
      </c>
      <c r="E132" s="3">
        <v>232.0</v>
      </c>
      <c r="F132" s="14">
        <f t="shared" si="3"/>
        <v>1.990905172</v>
      </c>
      <c r="G132" s="14">
        <f t="shared" si="4"/>
        <v>42.38689548</v>
      </c>
      <c r="H132" s="4">
        <v>461.89</v>
      </c>
      <c r="I132" s="13">
        <f t="shared" si="5"/>
        <v>0.01724137931</v>
      </c>
      <c r="J132" s="3">
        <v>4.0</v>
      </c>
      <c r="K132" s="14">
        <f t="shared" si="6"/>
        <v>111.945</v>
      </c>
      <c r="L132" s="4">
        <v>447.78</v>
      </c>
      <c r="M132" s="15">
        <f t="shared" si="7"/>
        <v>0.969451601</v>
      </c>
    </row>
    <row r="133">
      <c r="A133" s="2">
        <v>45058.0</v>
      </c>
      <c r="B133" s="12">
        <f t="shared" si="1"/>
        <v>5</v>
      </c>
      <c r="C133" s="3">
        <v>29715.0</v>
      </c>
      <c r="D133" s="13">
        <f t="shared" si="2"/>
        <v>0.02567726737</v>
      </c>
      <c r="E133" s="3">
        <v>763.0</v>
      </c>
      <c r="F133" s="14">
        <f t="shared" si="3"/>
        <v>1.691494102</v>
      </c>
      <c r="G133" s="14">
        <f t="shared" si="4"/>
        <v>43.43294632</v>
      </c>
      <c r="H133" s="4">
        <v>1290.61</v>
      </c>
      <c r="I133" s="13">
        <f t="shared" si="5"/>
        <v>0.01441677588</v>
      </c>
      <c r="J133" s="3">
        <v>11.0</v>
      </c>
      <c r="K133" s="14">
        <f t="shared" si="6"/>
        <v>214.44</v>
      </c>
      <c r="L133" s="4">
        <v>2358.84</v>
      </c>
      <c r="M133" s="15">
        <f t="shared" si="7"/>
        <v>1.827693881</v>
      </c>
    </row>
    <row r="134">
      <c r="A134" s="2">
        <v>45059.0</v>
      </c>
      <c r="B134" s="12">
        <f t="shared" si="1"/>
        <v>5</v>
      </c>
      <c r="C134" s="3">
        <v>44675.0</v>
      </c>
      <c r="D134" s="13">
        <f t="shared" si="2"/>
        <v>0.01719082261</v>
      </c>
      <c r="E134" s="3">
        <v>768.0</v>
      </c>
      <c r="F134" s="14">
        <f t="shared" si="3"/>
        <v>1.390729167</v>
      </c>
      <c r="G134" s="14">
        <f t="shared" si="4"/>
        <v>23.9077784</v>
      </c>
      <c r="H134" s="4">
        <v>1068.08</v>
      </c>
      <c r="I134" s="13">
        <f t="shared" si="5"/>
        <v>0.01692708333</v>
      </c>
      <c r="J134" s="3">
        <v>13.0</v>
      </c>
      <c r="K134" s="14">
        <f t="shared" si="6"/>
        <v>133.4376923</v>
      </c>
      <c r="L134" s="4">
        <v>1734.69</v>
      </c>
      <c r="M134" s="15">
        <f t="shared" si="7"/>
        <v>1.624119916</v>
      </c>
    </row>
    <row r="135">
      <c r="A135" s="2">
        <v>45060.0</v>
      </c>
      <c r="B135" s="12">
        <f t="shared" si="1"/>
        <v>5</v>
      </c>
      <c r="C135" s="3">
        <v>98876.0</v>
      </c>
      <c r="D135" s="13">
        <f t="shared" si="2"/>
        <v>0.01539301752</v>
      </c>
      <c r="E135" s="5">
        <v>1522.0</v>
      </c>
      <c r="F135" s="14">
        <f t="shared" si="3"/>
        <v>1.95088042</v>
      </c>
      <c r="G135" s="14">
        <f t="shared" si="4"/>
        <v>30.02993649</v>
      </c>
      <c r="H135" s="4">
        <v>2969.24</v>
      </c>
      <c r="I135" s="13">
        <f t="shared" si="5"/>
        <v>0.01314060447</v>
      </c>
      <c r="J135" s="3">
        <v>20.0</v>
      </c>
      <c r="K135" s="14">
        <f t="shared" si="6"/>
        <v>106.3905</v>
      </c>
      <c r="L135" s="4">
        <v>2127.81</v>
      </c>
      <c r="M135" s="15">
        <f t="shared" si="7"/>
        <v>0.7166177204</v>
      </c>
    </row>
    <row r="136">
      <c r="A136" s="2">
        <v>45061.0</v>
      </c>
      <c r="B136" s="12">
        <f t="shared" si="1"/>
        <v>5</v>
      </c>
      <c r="C136" s="3">
        <v>17231.0</v>
      </c>
      <c r="D136" s="13">
        <f t="shared" si="2"/>
        <v>0.02025419302</v>
      </c>
      <c r="E136" s="3">
        <v>349.0</v>
      </c>
      <c r="F136" s="14">
        <f t="shared" si="3"/>
        <v>1.032320917</v>
      </c>
      <c r="G136" s="14">
        <f t="shared" si="4"/>
        <v>20.90882711</v>
      </c>
      <c r="H136" s="4">
        <v>360.28</v>
      </c>
      <c r="I136" s="13">
        <f t="shared" si="5"/>
        <v>0.0229226361</v>
      </c>
      <c r="J136" s="3">
        <v>8.0</v>
      </c>
      <c r="K136" s="14">
        <f t="shared" si="6"/>
        <v>115.08125</v>
      </c>
      <c r="L136" s="4">
        <v>920.65</v>
      </c>
      <c r="M136" s="15">
        <f t="shared" si="7"/>
        <v>2.555373598</v>
      </c>
    </row>
    <row r="137">
      <c r="A137" s="2">
        <v>45062.0</v>
      </c>
      <c r="B137" s="12">
        <f t="shared" si="1"/>
        <v>5</v>
      </c>
      <c r="C137" s="3">
        <v>58192.0</v>
      </c>
      <c r="D137" s="13">
        <f t="shared" si="2"/>
        <v>0.02039799285</v>
      </c>
      <c r="E137" s="5">
        <v>1187.0</v>
      </c>
      <c r="F137" s="14">
        <f t="shared" si="3"/>
        <v>1.250117944</v>
      </c>
      <c r="G137" s="14">
        <f t="shared" si="4"/>
        <v>25.49989689</v>
      </c>
      <c r="H137" s="4">
        <v>1483.89</v>
      </c>
      <c r="I137" s="13">
        <f t="shared" si="5"/>
        <v>0.02443133951</v>
      </c>
      <c r="J137" s="3">
        <v>29.0</v>
      </c>
      <c r="K137" s="14">
        <f t="shared" si="6"/>
        <v>161.6934483</v>
      </c>
      <c r="L137" s="4">
        <v>4689.11</v>
      </c>
      <c r="M137" s="15">
        <f t="shared" si="7"/>
        <v>3.160011861</v>
      </c>
    </row>
    <row r="138">
      <c r="A138" s="2">
        <v>45063.0</v>
      </c>
      <c r="B138" s="12">
        <f t="shared" si="1"/>
        <v>5</v>
      </c>
      <c r="C138" s="3">
        <v>46401.0</v>
      </c>
      <c r="D138" s="13">
        <f t="shared" si="2"/>
        <v>0.02088317062</v>
      </c>
      <c r="E138" s="3">
        <v>969.0</v>
      </c>
      <c r="F138" s="14">
        <f t="shared" si="3"/>
        <v>1.341073271</v>
      </c>
      <c r="G138" s="14">
        <f t="shared" si="4"/>
        <v>28.00586194</v>
      </c>
      <c r="H138" s="4">
        <v>1299.5</v>
      </c>
      <c r="I138" s="13">
        <f t="shared" si="5"/>
        <v>0.01547987616</v>
      </c>
      <c r="J138" s="3">
        <v>15.0</v>
      </c>
      <c r="K138" s="14">
        <f t="shared" si="6"/>
        <v>130.3386667</v>
      </c>
      <c r="L138" s="4">
        <v>1955.08</v>
      </c>
      <c r="M138" s="15">
        <f t="shared" si="7"/>
        <v>1.504486341</v>
      </c>
    </row>
    <row r="139">
      <c r="A139" s="2">
        <v>45064.0</v>
      </c>
      <c r="B139" s="12">
        <f t="shared" si="1"/>
        <v>5</v>
      </c>
      <c r="C139" s="3">
        <v>92964.0</v>
      </c>
      <c r="D139" s="13">
        <f t="shared" si="2"/>
        <v>0.01529624371</v>
      </c>
      <c r="E139" s="5">
        <v>1422.0</v>
      </c>
      <c r="F139" s="14">
        <f t="shared" si="3"/>
        <v>1.740421941</v>
      </c>
      <c r="G139" s="14">
        <f t="shared" si="4"/>
        <v>26.62191816</v>
      </c>
      <c r="H139" s="4">
        <v>2474.88</v>
      </c>
      <c r="I139" s="13">
        <f t="shared" si="5"/>
        <v>0.02390998594</v>
      </c>
      <c r="J139" s="3">
        <v>34.0</v>
      </c>
      <c r="K139" s="14">
        <f t="shared" si="6"/>
        <v>169.7658824</v>
      </c>
      <c r="L139" s="4">
        <v>5772.04</v>
      </c>
      <c r="M139" s="15">
        <f t="shared" si="7"/>
        <v>2.332250453</v>
      </c>
    </row>
    <row r="140">
      <c r="A140" s="2">
        <v>45065.0</v>
      </c>
      <c r="B140" s="12">
        <f t="shared" si="1"/>
        <v>5</v>
      </c>
      <c r="C140" s="3">
        <v>65281.0</v>
      </c>
      <c r="D140" s="13">
        <f t="shared" si="2"/>
        <v>0.02798670364</v>
      </c>
      <c r="E140" s="5">
        <v>1827.0</v>
      </c>
      <c r="F140" s="14">
        <f t="shared" si="3"/>
        <v>1.320623974</v>
      </c>
      <c r="G140" s="14">
        <f t="shared" si="4"/>
        <v>36.95991177</v>
      </c>
      <c r="H140" s="4">
        <v>2412.78</v>
      </c>
      <c r="I140" s="13">
        <f t="shared" si="5"/>
        <v>0.02298850575</v>
      </c>
      <c r="J140" s="3">
        <v>42.0</v>
      </c>
      <c r="K140" s="14">
        <f t="shared" si="6"/>
        <v>158.5197619</v>
      </c>
      <c r="L140" s="4">
        <v>6657.83</v>
      </c>
      <c r="M140" s="15">
        <f t="shared" si="7"/>
        <v>2.759402018</v>
      </c>
    </row>
    <row r="141">
      <c r="A141" s="2">
        <v>45066.0</v>
      </c>
      <c r="B141" s="12">
        <f t="shared" si="1"/>
        <v>5</v>
      </c>
      <c r="C141" s="3">
        <v>80391.0</v>
      </c>
      <c r="D141" s="13">
        <f t="shared" si="2"/>
        <v>0.01018770758</v>
      </c>
      <c r="E141" s="3">
        <v>819.0</v>
      </c>
      <c r="F141" s="14">
        <f t="shared" si="3"/>
        <v>1.211452991</v>
      </c>
      <c r="G141" s="14">
        <f t="shared" si="4"/>
        <v>12.34192882</v>
      </c>
      <c r="H141" s="4">
        <v>992.18</v>
      </c>
      <c r="I141" s="13">
        <f t="shared" si="5"/>
        <v>0.01343101343</v>
      </c>
      <c r="J141" s="3">
        <v>11.0</v>
      </c>
      <c r="K141" s="14">
        <f t="shared" si="6"/>
        <v>107.7609091</v>
      </c>
      <c r="L141" s="4">
        <v>1185.37</v>
      </c>
      <c r="M141" s="15">
        <f t="shared" si="7"/>
        <v>1.194712653</v>
      </c>
    </row>
    <row r="142">
      <c r="A142" s="2">
        <v>45067.0</v>
      </c>
      <c r="B142" s="12">
        <f t="shared" si="1"/>
        <v>5</v>
      </c>
      <c r="C142" s="3">
        <v>88277.0</v>
      </c>
      <c r="D142" s="13">
        <f t="shared" si="2"/>
        <v>0.01278928826</v>
      </c>
      <c r="E142" s="5">
        <v>1129.0</v>
      </c>
      <c r="F142" s="14">
        <f t="shared" si="3"/>
        <v>1.441204606</v>
      </c>
      <c r="G142" s="14">
        <f t="shared" si="4"/>
        <v>18.43198115</v>
      </c>
      <c r="H142" s="4">
        <v>1627.12</v>
      </c>
      <c r="I142" s="13">
        <f t="shared" si="5"/>
        <v>0.02214348981</v>
      </c>
      <c r="J142" s="3">
        <v>25.0</v>
      </c>
      <c r="K142" s="14">
        <f t="shared" si="6"/>
        <v>184.2624</v>
      </c>
      <c r="L142" s="4">
        <v>4606.56</v>
      </c>
      <c r="M142" s="15">
        <f t="shared" si="7"/>
        <v>2.831112641</v>
      </c>
    </row>
    <row r="143">
      <c r="A143" s="2">
        <v>45068.0</v>
      </c>
      <c r="B143" s="12">
        <f t="shared" si="1"/>
        <v>5</v>
      </c>
      <c r="C143" s="3">
        <v>60190.0</v>
      </c>
      <c r="D143" s="13">
        <f t="shared" si="2"/>
        <v>0.01038378468</v>
      </c>
      <c r="E143" s="3">
        <v>625.0</v>
      </c>
      <c r="F143" s="14">
        <f t="shared" si="3"/>
        <v>1.943024</v>
      </c>
      <c r="G143" s="14">
        <f t="shared" si="4"/>
        <v>20.17594285</v>
      </c>
      <c r="H143" s="4">
        <v>1214.39</v>
      </c>
      <c r="I143" s="13">
        <f t="shared" si="5"/>
        <v>0.0224</v>
      </c>
      <c r="J143" s="3">
        <v>14.0</v>
      </c>
      <c r="K143" s="14">
        <f t="shared" si="6"/>
        <v>152.8635714</v>
      </c>
      <c r="L143" s="4">
        <v>2140.09</v>
      </c>
      <c r="M143" s="15">
        <f t="shared" si="7"/>
        <v>1.76227571</v>
      </c>
    </row>
    <row r="144">
      <c r="A144" s="2">
        <v>45069.0</v>
      </c>
      <c r="B144" s="12">
        <f t="shared" si="1"/>
        <v>5</v>
      </c>
      <c r="C144" s="3">
        <v>74681.0</v>
      </c>
      <c r="D144" s="13">
        <f t="shared" si="2"/>
        <v>0.01488999879</v>
      </c>
      <c r="E144" s="5">
        <v>1112.0</v>
      </c>
      <c r="F144" s="14">
        <f t="shared" si="3"/>
        <v>1.601070144</v>
      </c>
      <c r="G144" s="14">
        <f t="shared" si="4"/>
        <v>23.83993251</v>
      </c>
      <c r="H144" s="4">
        <v>1780.39</v>
      </c>
      <c r="I144" s="13">
        <f t="shared" si="5"/>
        <v>0.01708633094</v>
      </c>
      <c r="J144" s="3">
        <v>19.0</v>
      </c>
      <c r="K144" s="14">
        <f t="shared" si="6"/>
        <v>174.2563158</v>
      </c>
      <c r="L144" s="4">
        <v>3310.87</v>
      </c>
      <c r="M144" s="15">
        <f t="shared" si="7"/>
        <v>1.859631878</v>
      </c>
    </row>
    <row r="145">
      <c r="A145" s="2">
        <v>45070.0</v>
      </c>
      <c r="B145" s="12">
        <f t="shared" si="1"/>
        <v>5</v>
      </c>
      <c r="C145" s="3">
        <v>87812.0</v>
      </c>
      <c r="D145" s="13">
        <f t="shared" si="2"/>
        <v>0.01139935316</v>
      </c>
      <c r="E145" s="5">
        <v>1001.0</v>
      </c>
      <c r="F145" s="14">
        <f t="shared" si="3"/>
        <v>1.47007992</v>
      </c>
      <c r="G145" s="14">
        <f t="shared" si="4"/>
        <v>16.75796019</v>
      </c>
      <c r="H145" s="4">
        <v>1471.55</v>
      </c>
      <c r="I145" s="13">
        <f t="shared" si="5"/>
        <v>0.01698301698</v>
      </c>
      <c r="J145" s="3">
        <v>17.0</v>
      </c>
      <c r="K145" s="14">
        <f t="shared" si="6"/>
        <v>151.4835294</v>
      </c>
      <c r="L145" s="4">
        <v>2575.22</v>
      </c>
      <c r="M145" s="15">
        <f t="shared" si="7"/>
        <v>1.750005097</v>
      </c>
    </row>
    <row r="146">
      <c r="A146" s="2">
        <v>45071.0</v>
      </c>
      <c r="B146" s="12">
        <f t="shared" si="1"/>
        <v>5</v>
      </c>
      <c r="C146" s="3">
        <v>67385.0</v>
      </c>
      <c r="D146" s="13">
        <f t="shared" si="2"/>
        <v>0.02798842472</v>
      </c>
      <c r="E146" s="5">
        <v>1886.0</v>
      </c>
      <c r="F146" s="14">
        <f t="shared" si="3"/>
        <v>1.800742312</v>
      </c>
      <c r="G146" s="14">
        <f t="shared" si="4"/>
        <v>50.39994064</v>
      </c>
      <c r="H146" s="4">
        <v>3396.2</v>
      </c>
      <c r="I146" s="13">
        <f t="shared" si="5"/>
        <v>0.01378579003</v>
      </c>
      <c r="J146" s="3">
        <v>26.0</v>
      </c>
      <c r="K146" s="14">
        <f t="shared" si="6"/>
        <v>138.1342308</v>
      </c>
      <c r="L146" s="4">
        <v>3591.49</v>
      </c>
      <c r="M146" s="15">
        <f t="shared" si="7"/>
        <v>1.057502503</v>
      </c>
    </row>
    <row r="147">
      <c r="A147" s="2">
        <v>45072.0</v>
      </c>
      <c r="B147" s="12">
        <f t="shared" si="1"/>
        <v>5</v>
      </c>
      <c r="C147" s="3">
        <v>74469.0</v>
      </c>
      <c r="D147" s="13">
        <f t="shared" si="2"/>
        <v>0.02588996764</v>
      </c>
      <c r="E147" s="5">
        <v>1928.0</v>
      </c>
      <c r="F147" s="14">
        <f t="shared" si="3"/>
        <v>1.970762448</v>
      </c>
      <c r="G147" s="14">
        <f t="shared" si="4"/>
        <v>51.022976</v>
      </c>
      <c r="H147" s="4">
        <v>3799.63</v>
      </c>
      <c r="I147" s="13">
        <f t="shared" si="5"/>
        <v>0.02126556017</v>
      </c>
      <c r="J147" s="3">
        <v>41.0</v>
      </c>
      <c r="K147" s="14">
        <f t="shared" si="6"/>
        <v>155.0336585</v>
      </c>
      <c r="L147" s="4">
        <v>6356.38</v>
      </c>
      <c r="M147" s="15">
        <f t="shared" si="7"/>
        <v>1.672894466</v>
      </c>
    </row>
    <row r="148">
      <c r="A148" s="2">
        <v>45073.0</v>
      </c>
      <c r="B148" s="12">
        <f t="shared" si="1"/>
        <v>5</v>
      </c>
      <c r="C148" s="3">
        <v>32768.0</v>
      </c>
      <c r="D148" s="13">
        <f t="shared" si="2"/>
        <v>0.02108764648</v>
      </c>
      <c r="E148" s="3">
        <v>691.0</v>
      </c>
      <c r="F148" s="14">
        <f t="shared" si="3"/>
        <v>1.300752533</v>
      </c>
      <c r="G148" s="14">
        <f t="shared" si="4"/>
        <v>27.42980957</v>
      </c>
      <c r="H148" s="4">
        <v>898.82</v>
      </c>
      <c r="I148" s="13">
        <f t="shared" si="5"/>
        <v>0.01302460203</v>
      </c>
      <c r="J148" s="3">
        <v>9.0</v>
      </c>
      <c r="K148" s="14">
        <f t="shared" si="6"/>
        <v>190.8277778</v>
      </c>
      <c r="L148" s="4">
        <v>1717.45</v>
      </c>
      <c r="M148" s="15">
        <f t="shared" si="7"/>
        <v>1.910783027</v>
      </c>
    </row>
    <row r="149">
      <c r="A149" s="2">
        <v>45074.0</v>
      </c>
      <c r="B149" s="12">
        <f t="shared" si="1"/>
        <v>5</v>
      </c>
      <c r="C149" s="3">
        <v>76936.0</v>
      </c>
      <c r="D149" s="13">
        <f t="shared" si="2"/>
        <v>0.02729541437</v>
      </c>
      <c r="E149" s="5">
        <v>2100.0</v>
      </c>
      <c r="F149" s="14">
        <f t="shared" si="3"/>
        <v>1.710285714</v>
      </c>
      <c r="G149" s="14">
        <f t="shared" si="4"/>
        <v>46.68295726</v>
      </c>
      <c r="H149" s="4">
        <v>3591.6</v>
      </c>
      <c r="I149" s="13">
        <f t="shared" si="5"/>
        <v>0.0219047619</v>
      </c>
      <c r="J149" s="3">
        <v>46.0</v>
      </c>
      <c r="K149" s="14">
        <f t="shared" si="6"/>
        <v>181.8173913</v>
      </c>
      <c r="L149" s="4">
        <v>8363.6</v>
      </c>
      <c r="M149" s="15">
        <f t="shared" si="7"/>
        <v>2.328655752</v>
      </c>
    </row>
    <row r="150">
      <c r="A150" s="2">
        <v>45075.0</v>
      </c>
      <c r="B150" s="12">
        <f t="shared" si="1"/>
        <v>5</v>
      </c>
      <c r="C150" s="3">
        <v>59774.0</v>
      </c>
      <c r="D150" s="13">
        <f t="shared" si="2"/>
        <v>0.02119650684</v>
      </c>
      <c r="E150" s="5">
        <v>1267.0</v>
      </c>
      <c r="F150" s="14">
        <f t="shared" si="3"/>
        <v>1.000157853</v>
      </c>
      <c r="G150" s="14">
        <f t="shared" si="4"/>
        <v>21.19985278</v>
      </c>
      <c r="H150" s="4">
        <v>1267.2</v>
      </c>
      <c r="I150" s="13">
        <f t="shared" si="5"/>
        <v>0.02367797948</v>
      </c>
      <c r="J150" s="3">
        <v>30.0</v>
      </c>
      <c r="K150" s="14">
        <f t="shared" si="6"/>
        <v>127.777</v>
      </c>
      <c r="L150" s="4">
        <v>3833.31</v>
      </c>
      <c r="M150" s="15">
        <f t="shared" si="7"/>
        <v>3.025023674</v>
      </c>
    </row>
    <row r="151">
      <c r="A151" s="2">
        <v>45076.0</v>
      </c>
      <c r="B151" s="12">
        <f t="shared" si="1"/>
        <v>5</v>
      </c>
      <c r="C151" s="3">
        <v>41440.0</v>
      </c>
      <c r="D151" s="13">
        <f t="shared" si="2"/>
        <v>0.0277992278</v>
      </c>
      <c r="E151" s="5">
        <v>1152.0</v>
      </c>
      <c r="F151" s="14">
        <f t="shared" si="3"/>
        <v>1.800043403</v>
      </c>
      <c r="G151" s="14">
        <f t="shared" si="4"/>
        <v>50.0398166</v>
      </c>
      <c r="H151" s="4">
        <v>2073.65</v>
      </c>
      <c r="I151" s="13">
        <f t="shared" si="5"/>
        <v>0.01736111111</v>
      </c>
      <c r="J151" s="3">
        <v>20.0</v>
      </c>
      <c r="K151" s="14">
        <f t="shared" si="6"/>
        <v>192.758</v>
      </c>
      <c r="L151" s="4">
        <v>3855.16</v>
      </c>
      <c r="M151" s="15">
        <f t="shared" si="7"/>
        <v>1.85911798</v>
      </c>
    </row>
    <row r="152">
      <c r="A152" s="2">
        <v>45077.0</v>
      </c>
      <c r="B152" s="12">
        <f t="shared" si="1"/>
        <v>5</v>
      </c>
      <c r="C152" s="3">
        <v>23140.0</v>
      </c>
      <c r="D152" s="13">
        <f t="shared" si="2"/>
        <v>0.01339671564</v>
      </c>
      <c r="E152" s="3">
        <v>310.0</v>
      </c>
      <c r="F152" s="14">
        <f t="shared" si="3"/>
        <v>1.300290323</v>
      </c>
      <c r="G152" s="14">
        <f t="shared" si="4"/>
        <v>17.41961971</v>
      </c>
      <c r="H152" s="4">
        <v>403.09</v>
      </c>
      <c r="I152" s="13">
        <f t="shared" si="5"/>
        <v>0.01290322581</v>
      </c>
      <c r="J152" s="3">
        <v>4.0</v>
      </c>
      <c r="K152" s="14">
        <f t="shared" si="6"/>
        <v>164.1225</v>
      </c>
      <c r="L152" s="4">
        <v>656.49</v>
      </c>
      <c r="M152" s="15">
        <f t="shared" si="7"/>
        <v>1.628643727</v>
      </c>
    </row>
    <row r="153">
      <c r="A153" s="2">
        <v>45078.0</v>
      </c>
      <c r="B153" s="12">
        <f t="shared" si="1"/>
        <v>6</v>
      </c>
      <c r="C153" s="3">
        <v>53053.0</v>
      </c>
      <c r="D153" s="13">
        <f t="shared" si="2"/>
        <v>0.02229845626</v>
      </c>
      <c r="E153" s="5">
        <v>1183.0</v>
      </c>
      <c r="F153" s="14">
        <f t="shared" si="3"/>
        <v>1.100076078</v>
      </c>
      <c r="G153" s="14">
        <f t="shared" si="4"/>
        <v>24.5299983</v>
      </c>
      <c r="H153" s="4">
        <v>1301.39</v>
      </c>
      <c r="I153" s="13">
        <f t="shared" si="5"/>
        <v>0.01690617075</v>
      </c>
      <c r="J153" s="3">
        <v>20.0</v>
      </c>
      <c r="K153" s="14">
        <f t="shared" si="6"/>
        <v>135.0665</v>
      </c>
      <c r="L153" s="4">
        <v>2701.33</v>
      </c>
      <c r="M153" s="15">
        <f t="shared" si="7"/>
        <v>2.075726723</v>
      </c>
    </row>
    <row r="154">
      <c r="A154" s="2">
        <v>45079.0</v>
      </c>
      <c r="B154" s="12">
        <f t="shared" si="1"/>
        <v>6</v>
      </c>
      <c r="C154" s="3">
        <v>95715.0</v>
      </c>
      <c r="D154" s="13">
        <f t="shared" si="2"/>
        <v>0.01789688137</v>
      </c>
      <c r="E154" s="5">
        <v>1713.0</v>
      </c>
      <c r="F154" s="14">
        <f t="shared" si="3"/>
        <v>1.92033275</v>
      </c>
      <c r="G154" s="14">
        <f t="shared" si="4"/>
        <v>34.3679674</v>
      </c>
      <c r="H154" s="4">
        <v>3289.53</v>
      </c>
      <c r="I154" s="13">
        <f t="shared" si="5"/>
        <v>0.02276707531</v>
      </c>
      <c r="J154" s="3">
        <v>39.0</v>
      </c>
      <c r="K154" s="14">
        <f t="shared" si="6"/>
        <v>109.1766667</v>
      </c>
      <c r="L154" s="4">
        <v>4257.89</v>
      </c>
      <c r="M154" s="15">
        <f t="shared" si="7"/>
        <v>1.2943764</v>
      </c>
    </row>
    <row r="155">
      <c r="A155" s="2">
        <v>45080.0</v>
      </c>
      <c r="B155" s="12">
        <f t="shared" si="1"/>
        <v>6</v>
      </c>
      <c r="C155" s="3">
        <v>26361.0</v>
      </c>
      <c r="D155" s="13">
        <f t="shared" si="2"/>
        <v>0.02086415538</v>
      </c>
      <c r="E155" s="3">
        <v>550.0</v>
      </c>
      <c r="F155" s="14">
        <f t="shared" si="3"/>
        <v>1.843145455</v>
      </c>
      <c r="G155" s="14">
        <f t="shared" si="4"/>
        <v>38.45567315</v>
      </c>
      <c r="H155" s="4">
        <v>1013.73</v>
      </c>
      <c r="I155" s="13">
        <f t="shared" si="5"/>
        <v>0.02363636364</v>
      </c>
      <c r="J155" s="3">
        <v>13.0</v>
      </c>
      <c r="K155" s="14">
        <f t="shared" si="6"/>
        <v>192.3392308</v>
      </c>
      <c r="L155" s="4">
        <v>2500.41</v>
      </c>
      <c r="M155" s="15">
        <f t="shared" si="7"/>
        <v>2.466544346</v>
      </c>
    </row>
    <row r="156">
      <c r="A156" s="2">
        <v>45081.0</v>
      </c>
      <c r="B156" s="12">
        <f t="shared" si="1"/>
        <v>6</v>
      </c>
      <c r="C156" s="3">
        <v>55684.0</v>
      </c>
      <c r="D156" s="13">
        <f t="shared" si="2"/>
        <v>0.02189138711</v>
      </c>
      <c r="E156" s="5">
        <v>1219.0</v>
      </c>
      <c r="F156" s="14">
        <f t="shared" si="3"/>
        <v>1.690664479</v>
      </c>
      <c r="G156" s="14">
        <f t="shared" si="4"/>
        <v>37.01099059</v>
      </c>
      <c r="H156" s="4">
        <v>2060.92</v>
      </c>
      <c r="I156" s="13">
        <f t="shared" si="5"/>
        <v>0.02461033634</v>
      </c>
      <c r="J156" s="3">
        <v>30.0</v>
      </c>
      <c r="K156" s="14">
        <f t="shared" si="6"/>
        <v>110.8913333</v>
      </c>
      <c r="L156" s="4">
        <v>3326.74</v>
      </c>
      <c r="M156" s="15">
        <f t="shared" si="7"/>
        <v>1.614201425</v>
      </c>
    </row>
    <row r="157">
      <c r="A157" s="2">
        <v>45082.0</v>
      </c>
      <c r="B157" s="12">
        <f t="shared" si="1"/>
        <v>6</v>
      </c>
      <c r="C157" s="3">
        <v>66949.0</v>
      </c>
      <c r="D157" s="13">
        <f t="shared" si="2"/>
        <v>0.02969424487</v>
      </c>
      <c r="E157" s="5">
        <v>1988.0</v>
      </c>
      <c r="F157" s="14">
        <f t="shared" si="3"/>
        <v>1.090206237</v>
      </c>
      <c r="G157" s="14">
        <f t="shared" si="4"/>
        <v>32.37285098</v>
      </c>
      <c r="H157" s="4">
        <v>2167.33</v>
      </c>
      <c r="I157" s="13">
        <f t="shared" si="5"/>
        <v>0.02012072435</v>
      </c>
      <c r="J157" s="3">
        <v>40.0</v>
      </c>
      <c r="K157" s="14">
        <f t="shared" si="6"/>
        <v>126.97825</v>
      </c>
      <c r="L157" s="4">
        <v>5079.13</v>
      </c>
      <c r="M157" s="15">
        <f t="shared" si="7"/>
        <v>2.343496376</v>
      </c>
    </row>
    <row r="158">
      <c r="A158" s="2">
        <v>45083.0</v>
      </c>
      <c r="B158" s="12">
        <f t="shared" si="1"/>
        <v>6</v>
      </c>
      <c r="C158" s="3">
        <v>76208.0</v>
      </c>
      <c r="D158" s="13">
        <f t="shared" si="2"/>
        <v>0.01789838337</v>
      </c>
      <c r="E158" s="5">
        <v>1364.0</v>
      </c>
      <c r="F158" s="14">
        <f t="shared" si="3"/>
        <v>1.890168622</v>
      </c>
      <c r="G158" s="14">
        <f t="shared" si="4"/>
        <v>33.83096263</v>
      </c>
      <c r="H158" s="4">
        <v>2578.19</v>
      </c>
      <c r="I158" s="13">
        <f t="shared" si="5"/>
        <v>0.02052785924</v>
      </c>
      <c r="J158" s="3">
        <v>28.0</v>
      </c>
      <c r="K158" s="14">
        <f t="shared" si="6"/>
        <v>108.9642857</v>
      </c>
      <c r="L158" s="4">
        <v>3051.0</v>
      </c>
      <c r="M158" s="15">
        <f t="shared" si="7"/>
        <v>1.183388346</v>
      </c>
    </row>
    <row r="159">
      <c r="A159" s="2">
        <v>45084.0</v>
      </c>
      <c r="B159" s="12">
        <f t="shared" si="1"/>
        <v>6</v>
      </c>
      <c r="C159" s="3">
        <v>72025.0</v>
      </c>
      <c r="D159" s="13">
        <f t="shared" si="2"/>
        <v>0.02189517529</v>
      </c>
      <c r="E159" s="5">
        <v>1577.0</v>
      </c>
      <c r="F159" s="14">
        <f t="shared" si="3"/>
        <v>1.320285352</v>
      </c>
      <c r="G159" s="14">
        <f t="shared" si="4"/>
        <v>28.90787921</v>
      </c>
      <c r="H159" s="4">
        <v>2082.09</v>
      </c>
      <c r="I159" s="13">
        <f t="shared" si="5"/>
        <v>0.02219403932</v>
      </c>
      <c r="J159" s="3">
        <v>35.0</v>
      </c>
      <c r="K159" s="14">
        <f t="shared" si="6"/>
        <v>198.872</v>
      </c>
      <c r="L159" s="4">
        <v>6960.52</v>
      </c>
      <c r="M159" s="15">
        <f t="shared" si="7"/>
        <v>3.343044729</v>
      </c>
    </row>
    <row r="160">
      <c r="A160" s="2">
        <v>45085.0</v>
      </c>
      <c r="B160" s="12">
        <f t="shared" si="1"/>
        <v>6</v>
      </c>
      <c r="C160" s="3">
        <v>91551.0</v>
      </c>
      <c r="D160" s="13">
        <f t="shared" si="2"/>
        <v>0.02279603718</v>
      </c>
      <c r="E160" s="5">
        <v>2087.0</v>
      </c>
      <c r="F160" s="14">
        <f t="shared" si="3"/>
        <v>1.280220412</v>
      </c>
      <c r="G160" s="14">
        <f t="shared" si="4"/>
        <v>29.18395211</v>
      </c>
      <c r="H160" s="4">
        <v>2671.82</v>
      </c>
      <c r="I160" s="13">
        <f t="shared" si="5"/>
        <v>0.01677048395</v>
      </c>
      <c r="J160" s="3">
        <v>35.0</v>
      </c>
      <c r="K160" s="14">
        <f t="shared" si="6"/>
        <v>191.7271429</v>
      </c>
      <c r="L160" s="4">
        <v>6710.45</v>
      </c>
      <c r="M160" s="15">
        <f t="shared" si="7"/>
        <v>2.51156515</v>
      </c>
    </row>
    <row r="161">
      <c r="A161" s="2">
        <v>45086.0</v>
      </c>
      <c r="B161" s="12">
        <f t="shared" si="1"/>
        <v>6</v>
      </c>
      <c r="C161" s="3">
        <v>43530.0</v>
      </c>
      <c r="D161" s="13">
        <f t="shared" si="2"/>
        <v>0.01428899609</v>
      </c>
      <c r="E161" s="3">
        <v>622.0</v>
      </c>
      <c r="F161" s="14">
        <f t="shared" si="3"/>
        <v>1.431093248</v>
      </c>
      <c r="G161" s="14">
        <f t="shared" si="4"/>
        <v>20.44888583</v>
      </c>
      <c r="H161" s="4">
        <v>890.14</v>
      </c>
      <c r="I161" s="13">
        <f t="shared" si="5"/>
        <v>0.01286173633</v>
      </c>
      <c r="J161" s="3">
        <v>8.0</v>
      </c>
      <c r="K161" s="14">
        <f t="shared" si="6"/>
        <v>140.71125</v>
      </c>
      <c r="L161" s="4">
        <v>1125.69</v>
      </c>
      <c r="M161" s="15">
        <f t="shared" si="7"/>
        <v>1.264621296</v>
      </c>
    </row>
    <row r="162">
      <c r="A162" s="2">
        <v>45087.0</v>
      </c>
      <c r="B162" s="12">
        <f t="shared" si="1"/>
        <v>6</v>
      </c>
      <c r="C162" s="3">
        <v>86963.0</v>
      </c>
      <c r="D162" s="13">
        <f t="shared" si="2"/>
        <v>0.0264940262</v>
      </c>
      <c r="E162" s="5">
        <v>2304.0</v>
      </c>
      <c r="F162" s="14">
        <f t="shared" si="3"/>
        <v>1.070238715</v>
      </c>
      <c r="G162" s="14">
        <f t="shared" si="4"/>
        <v>28.35493256</v>
      </c>
      <c r="H162" s="4">
        <v>2465.83</v>
      </c>
      <c r="I162" s="13">
        <f t="shared" si="5"/>
        <v>0.01302083333</v>
      </c>
      <c r="J162" s="3">
        <v>30.0</v>
      </c>
      <c r="K162" s="14">
        <f t="shared" si="6"/>
        <v>135.882</v>
      </c>
      <c r="L162" s="4">
        <v>4076.46</v>
      </c>
      <c r="M162" s="15">
        <f t="shared" si="7"/>
        <v>1.65317966</v>
      </c>
    </row>
    <row r="163">
      <c r="A163" s="2">
        <v>45088.0</v>
      </c>
      <c r="B163" s="12">
        <f t="shared" si="1"/>
        <v>6</v>
      </c>
      <c r="C163" s="3">
        <v>87979.0</v>
      </c>
      <c r="D163" s="13">
        <f t="shared" si="2"/>
        <v>0.01369645029</v>
      </c>
      <c r="E163" s="5">
        <v>1205.0</v>
      </c>
      <c r="F163" s="14">
        <f t="shared" si="3"/>
        <v>1.200307054</v>
      </c>
      <c r="G163" s="14">
        <f t="shared" si="4"/>
        <v>16.4399459</v>
      </c>
      <c r="H163" s="4">
        <v>1446.37</v>
      </c>
      <c r="I163" s="13">
        <f t="shared" si="5"/>
        <v>0.01244813278</v>
      </c>
      <c r="J163" s="3">
        <v>15.0</v>
      </c>
      <c r="K163" s="14">
        <f t="shared" si="6"/>
        <v>184.5573333</v>
      </c>
      <c r="L163" s="4">
        <v>2768.36</v>
      </c>
      <c r="M163" s="15">
        <f t="shared" si="7"/>
        <v>1.914005407</v>
      </c>
    </row>
    <row r="164">
      <c r="A164" s="2">
        <v>45089.0</v>
      </c>
      <c r="B164" s="12">
        <f t="shared" si="1"/>
        <v>6</v>
      </c>
      <c r="C164" s="3">
        <v>19976.0</v>
      </c>
      <c r="D164" s="13">
        <f t="shared" si="2"/>
        <v>0.02117541049</v>
      </c>
      <c r="E164" s="3">
        <v>423.0</v>
      </c>
      <c r="F164" s="14">
        <f t="shared" si="3"/>
        <v>1.031182033</v>
      </c>
      <c r="G164" s="14">
        <f t="shared" si="4"/>
        <v>21.83570284</v>
      </c>
      <c r="H164" s="4">
        <v>436.19</v>
      </c>
      <c r="I164" s="13">
        <f t="shared" si="5"/>
        <v>0.01891252955</v>
      </c>
      <c r="J164" s="3">
        <v>8.0</v>
      </c>
      <c r="K164" s="14">
        <f t="shared" si="6"/>
        <v>183.88</v>
      </c>
      <c r="L164" s="4">
        <v>1471.04</v>
      </c>
      <c r="M164" s="15">
        <f t="shared" si="7"/>
        <v>3.372475297</v>
      </c>
    </row>
    <row r="165">
      <c r="A165" s="2">
        <v>45090.0</v>
      </c>
      <c r="B165" s="12">
        <f t="shared" si="1"/>
        <v>6</v>
      </c>
      <c r="C165" s="3">
        <v>44371.0</v>
      </c>
      <c r="D165" s="13">
        <f t="shared" si="2"/>
        <v>0.02828423971</v>
      </c>
      <c r="E165" s="5">
        <v>1255.0</v>
      </c>
      <c r="F165" s="14">
        <f t="shared" si="3"/>
        <v>1.901051793</v>
      </c>
      <c r="G165" s="14">
        <f t="shared" si="4"/>
        <v>53.7698046</v>
      </c>
      <c r="H165" s="4">
        <v>2385.82</v>
      </c>
      <c r="I165" s="13">
        <f t="shared" si="5"/>
        <v>0.02390438247</v>
      </c>
      <c r="J165" s="3">
        <v>30.0</v>
      </c>
      <c r="K165" s="14">
        <f t="shared" si="6"/>
        <v>160.629</v>
      </c>
      <c r="L165" s="4">
        <v>4818.87</v>
      </c>
      <c r="M165" s="15">
        <f t="shared" si="7"/>
        <v>2.019796129</v>
      </c>
    </row>
    <row r="166">
      <c r="A166" s="2">
        <v>45091.0</v>
      </c>
      <c r="B166" s="12">
        <f t="shared" si="1"/>
        <v>6</v>
      </c>
      <c r="C166" s="3">
        <v>61532.0</v>
      </c>
      <c r="D166" s="13">
        <f t="shared" si="2"/>
        <v>0.02059091205</v>
      </c>
      <c r="E166" s="5">
        <v>1267.0</v>
      </c>
      <c r="F166" s="14">
        <f t="shared" si="3"/>
        <v>1.140497238</v>
      </c>
      <c r="G166" s="14">
        <f t="shared" si="4"/>
        <v>23.48387831</v>
      </c>
      <c r="H166" s="4">
        <v>1445.01</v>
      </c>
      <c r="I166" s="13">
        <f t="shared" si="5"/>
        <v>0.01657458564</v>
      </c>
      <c r="J166" s="3">
        <v>21.0</v>
      </c>
      <c r="K166" s="14">
        <f t="shared" si="6"/>
        <v>175.43</v>
      </c>
      <c r="L166" s="4">
        <v>3684.03</v>
      </c>
      <c r="M166" s="15">
        <f t="shared" si="7"/>
        <v>2.549484087</v>
      </c>
    </row>
    <row r="167">
      <c r="A167" s="2">
        <v>45092.0</v>
      </c>
      <c r="B167" s="12">
        <f t="shared" si="1"/>
        <v>6</v>
      </c>
      <c r="C167" s="3">
        <v>78483.0</v>
      </c>
      <c r="D167" s="13">
        <f t="shared" si="2"/>
        <v>0.02648981308</v>
      </c>
      <c r="E167" s="5">
        <v>2079.0</v>
      </c>
      <c r="F167" s="14">
        <f t="shared" si="3"/>
        <v>1.260481</v>
      </c>
      <c r="G167" s="14">
        <f t="shared" si="4"/>
        <v>33.38990609</v>
      </c>
      <c r="H167" s="4">
        <v>2620.54</v>
      </c>
      <c r="I167" s="13">
        <f t="shared" si="5"/>
        <v>0.02453102453</v>
      </c>
      <c r="J167" s="3">
        <v>51.0</v>
      </c>
      <c r="K167" s="14">
        <f t="shared" si="6"/>
        <v>179.295098</v>
      </c>
      <c r="L167" s="4">
        <v>9144.05</v>
      </c>
      <c r="M167" s="15">
        <f t="shared" si="7"/>
        <v>3.489376235</v>
      </c>
    </row>
    <row r="168">
      <c r="A168" s="2">
        <v>45093.0</v>
      </c>
      <c r="B168" s="12">
        <f t="shared" si="1"/>
        <v>6</v>
      </c>
      <c r="C168" s="3">
        <v>93791.0</v>
      </c>
      <c r="D168" s="13">
        <f t="shared" si="2"/>
        <v>0.02909660842</v>
      </c>
      <c r="E168" s="5">
        <v>2729.0</v>
      </c>
      <c r="F168" s="14">
        <f t="shared" si="3"/>
        <v>1.880216196</v>
      </c>
      <c r="G168" s="14">
        <f t="shared" si="4"/>
        <v>54.70791441</v>
      </c>
      <c r="H168" s="4">
        <v>5131.11</v>
      </c>
      <c r="I168" s="13">
        <f t="shared" si="5"/>
        <v>0.01612312202</v>
      </c>
      <c r="J168" s="3">
        <v>44.0</v>
      </c>
      <c r="K168" s="14">
        <f t="shared" si="6"/>
        <v>157.6802273</v>
      </c>
      <c r="L168" s="4">
        <v>6937.93</v>
      </c>
      <c r="M168" s="15">
        <f t="shared" si="7"/>
        <v>1.352130436</v>
      </c>
    </row>
    <row r="169">
      <c r="A169" s="2">
        <v>45094.0</v>
      </c>
      <c r="B169" s="12">
        <f t="shared" si="1"/>
        <v>6</v>
      </c>
      <c r="C169" s="3">
        <v>28076.0</v>
      </c>
      <c r="D169" s="13">
        <f t="shared" si="2"/>
        <v>0.01798689272</v>
      </c>
      <c r="E169" s="3">
        <v>505.0</v>
      </c>
      <c r="F169" s="14">
        <f t="shared" si="3"/>
        <v>1.290930693</v>
      </c>
      <c r="G169" s="14">
        <f t="shared" si="4"/>
        <v>23.21983188</v>
      </c>
      <c r="H169" s="4">
        <v>651.92</v>
      </c>
      <c r="I169" s="13">
        <f t="shared" si="5"/>
        <v>0.01188118812</v>
      </c>
      <c r="J169" s="3">
        <v>6.0</v>
      </c>
      <c r="K169" s="14">
        <f t="shared" si="6"/>
        <v>199.9233333</v>
      </c>
      <c r="L169" s="4">
        <v>1199.54</v>
      </c>
      <c r="M169" s="15">
        <f t="shared" si="7"/>
        <v>1.840011044</v>
      </c>
    </row>
    <row r="170">
      <c r="A170" s="2">
        <v>45095.0</v>
      </c>
      <c r="B170" s="12">
        <f t="shared" si="1"/>
        <v>6</v>
      </c>
      <c r="C170" s="3">
        <v>32284.0</v>
      </c>
      <c r="D170" s="13">
        <f t="shared" si="2"/>
        <v>0.01068640813</v>
      </c>
      <c r="E170" s="3">
        <v>345.0</v>
      </c>
      <c r="F170" s="14">
        <f t="shared" si="3"/>
        <v>1.962492754</v>
      </c>
      <c r="G170" s="14">
        <f t="shared" si="4"/>
        <v>20.97199851</v>
      </c>
      <c r="H170" s="4">
        <v>677.06</v>
      </c>
      <c r="I170" s="13">
        <f t="shared" si="5"/>
        <v>0.01739130435</v>
      </c>
      <c r="J170" s="3">
        <v>6.0</v>
      </c>
      <c r="K170" s="14">
        <f t="shared" si="6"/>
        <v>146.535</v>
      </c>
      <c r="L170" s="4">
        <v>879.21</v>
      </c>
      <c r="M170" s="15">
        <f t="shared" si="7"/>
        <v>1.298570289</v>
      </c>
    </row>
    <row r="171">
      <c r="A171" s="2">
        <v>45096.0</v>
      </c>
      <c r="B171" s="12">
        <f t="shared" si="1"/>
        <v>6</v>
      </c>
      <c r="C171" s="3">
        <v>46812.0</v>
      </c>
      <c r="D171" s="13">
        <f t="shared" si="2"/>
        <v>0.02469452277</v>
      </c>
      <c r="E171" s="5">
        <v>1156.0</v>
      </c>
      <c r="F171" s="14">
        <f t="shared" si="3"/>
        <v>1.220268166</v>
      </c>
      <c r="G171" s="14">
        <f t="shared" si="4"/>
        <v>30.13394002</v>
      </c>
      <c r="H171" s="4">
        <v>1410.63</v>
      </c>
      <c r="I171" s="13">
        <f t="shared" si="5"/>
        <v>0.01384083045</v>
      </c>
      <c r="J171" s="3">
        <v>16.0</v>
      </c>
      <c r="K171" s="14">
        <f t="shared" si="6"/>
        <v>183.41125</v>
      </c>
      <c r="L171" s="4">
        <v>2934.58</v>
      </c>
      <c r="M171" s="15">
        <f t="shared" si="7"/>
        <v>2.080332901</v>
      </c>
    </row>
    <row r="172">
      <c r="A172" s="2">
        <v>45097.0</v>
      </c>
      <c r="B172" s="12">
        <f t="shared" si="1"/>
        <v>6</v>
      </c>
      <c r="C172" s="3">
        <v>57004.0</v>
      </c>
      <c r="D172" s="13">
        <f t="shared" si="2"/>
        <v>0.02348957968</v>
      </c>
      <c r="E172" s="5">
        <v>1339.0</v>
      </c>
      <c r="F172" s="14">
        <f t="shared" si="3"/>
        <v>1.670739358</v>
      </c>
      <c r="G172" s="14">
        <f t="shared" si="4"/>
        <v>39.24496527</v>
      </c>
      <c r="H172" s="4">
        <v>2237.12</v>
      </c>
      <c r="I172" s="13">
        <f t="shared" si="5"/>
        <v>0.02389843167</v>
      </c>
      <c r="J172" s="3">
        <v>32.0</v>
      </c>
      <c r="K172" s="14">
        <f t="shared" si="6"/>
        <v>175.5453125</v>
      </c>
      <c r="L172" s="4">
        <v>5617.45</v>
      </c>
      <c r="M172" s="15">
        <f t="shared" si="7"/>
        <v>2.511018631</v>
      </c>
    </row>
    <row r="173">
      <c r="A173" s="2">
        <v>45098.0</v>
      </c>
      <c r="B173" s="12">
        <f t="shared" si="1"/>
        <v>6</v>
      </c>
      <c r="C173" s="3">
        <v>73312.0</v>
      </c>
      <c r="D173" s="13">
        <f t="shared" si="2"/>
        <v>0.02789447839</v>
      </c>
      <c r="E173" s="5">
        <v>2045.0</v>
      </c>
      <c r="F173" s="14">
        <f t="shared" si="3"/>
        <v>1.720337408</v>
      </c>
      <c r="G173" s="14">
        <f t="shared" si="4"/>
        <v>47.98791467</v>
      </c>
      <c r="H173" s="4">
        <v>3518.09</v>
      </c>
      <c r="I173" s="13">
        <f t="shared" si="5"/>
        <v>0.0195599022</v>
      </c>
      <c r="J173" s="3">
        <v>40.0</v>
      </c>
      <c r="K173" s="14">
        <f t="shared" si="6"/>
        <v>166.21475</v>
      </c>
      <c r="L173" s="4">
        <v>6648.59</v>
      </c>
      <c r="M173" s="15">
        <f t="shared" si="7"/>
        <v>1.889829424</v>
      </c>
    </row>
    <row r="174">
      <c r="A174" s="2">
        <v>45099.0</v>
      </c>
      <c r="B174" s="12">
        <f t="shared" si="1"/>
        <v>6</v>
      </c>
      <c r="C174" s="3">
        <v>76451.0</v>
      </c>
      <c r="D174" s="13">
        <f t="shared" si="2"/>
        <v>0.02958757897</v>
      </c>
      <c r="E174" s="5">
        <v>2262.0</v>
      </c>
      <c r="F174" s="14">
        <f t="shared" si="3"/>
        <v>1.770742706</v>
      </c>
      <c r="G174" s="14">
        <f t="shared" si="4"/>
        <v>52.39198964</v>
      </c>
      <c r="H174" s="4">
        <v>4005.42</v>
      </c>
      <c r="I174" s="13">
        <f t="shared" si="5"/>
        <v>0.01679929266</v>
      </c>
      <c r="J174" s="3">
        <v>38.0</v>
      </c>
      <c r="K174" s="14">
        <f t="shared" si="6"/>
        <v>158.8589474</v>
      </c>
      <c r="L174" s="4">
        <v>6036.64</v>
      </c>
      <c r="M174" s="15">
        <f t="shared" si="7"/>
        <v>1.507117855</v>
      </c>
    </row>
    <row r="175">
      <c r="A175" s="2">
        <v>45100.0</v>
      </c>
      <c r="B175" s="12">
        <f t="shared" si="1"/>
        <v>6</v>
      </c>
      <c r="C175" s="3">
        <v>67806.0</v>
      </c>
      <c r="D175" s="13">
        <f t="shared" si="2"/>
        <v>0.01399581158</v>
      </c>
      <c r="E175" s="3">
        <v>949.0</v>
      </c>
      <c r="F175" s="14">
        <f t="shared" si="3"/>
        <v>1.970579557</v>
      </c>
      <c r="G175" s="14">
        <f t="shared" si="4"/>
        <v>27.57986019</v>
      </c>
      <c r="H175" s="4">
        <v>1870.08</v>
      </c>
      <c r="I175" s="13">
        <f t="shared" si="5"/>
        <v>0.02423603793</v>
      </c>
      <c r="J175" s="3">
        <v>23.0</v>
      </c>
      <c r="K175" s="14">
        <f t="shared" si="6"/>
        <v>163.4047826</v>
      </c>
      <c r="L175" s="4">
        <v>3758.31</v>
      </c>
      <c r="M175" s="15">
        <f t="shared" si="7"/>
        <v>2.009705467</v>
      </c>
    </row>
    <row r="176">
      <c r="A176" s="2">
        <v>45101.0</v>
      </c>
      <c r="B176" s="12">
        <f t="shared" si="1"/>
        <v>6</v>
      </c>
      <c r="C176" s="3">
        <v>70975.0</v>
      </c>
      <c r="D176" s="13">
        <f t="shared" si="2"/>
        <v>0.01129975343</v>
      </c>
      <c r="E176" s="3">
        <v>802.0</v>
      </c>
      <c r="F176" s="14">
        <f t="shared" si="3"/>
        <v>1.910037406</v>
      </c>
      <c r="G176" s="14">
        <f t="shared" si="4"/>
        <v>21.58295174</v>
      </c>
      <c r="H176" s="4">
        <v>1531.85</v>
      </c>
      <c r="I176" s="13">
        <f t="shared" si="5"/>
        <v>0.01995012469</v>
      </c>
      <c r="J176" s="3">
        <v>16.0</v>
      </c>
      <c r="K176" s="14">
        <f t="shared" si="6"/>
        <v>138.0325</v>
      </c>
      <c r="L176" s="4">
        <v>2208.52</v>
      </c>
      <c r="M176" s="15">
        <f t="shared" si="7"/>
        <v>1.441733851</v>
      </c>
    </row>
    <row r="177">
      <c r="A177" s="2">
        <v>45102.0</v>
      </c>
      <c r="B177" s="12">
        <f t="shared" si="1"/>
        <v>6</v>
      </c>
      <c r="C177" s="3">
        <v>29461.0</v>
      </c>
      <c r="D177" s="13">
        <f t="shared" si="2"/>
        <v>0.0152744306</v>
      </c>
      <c r="E177" s="3">
        <v>450.0</v>
      </c>
      <c r="F177" s="14">
        <f t="shared" si="3"/>
        <v>1.4424</v>
      </c>
      <c r="G177" s="14">
        <f t="shared" si="4"/>
        <v>22.0318387</v>
      </c>
      <c r="H177" s="4">
        <v>649.08</v>
      </c>
      <c r="I177" s="13">
        <f t="shared" si="5"/>
        <v>0.01777777778</v>
      </c>
      <c r="J177" s="3">
        <v>8.0</v>
      </c>
      <c r="K177" s="14">
        <f t="shared" si="6"/>
        <v>189.49125</v>
      </c>
      <c r="L177" s="4">
        <v>1515.93</v>
      </c>
      <c r="M177" s="15">
        <f t="shared" si="7"/>
        <v>2.335505639</v>
      </c>
    </row>
    <row r="178">
      <c r="A178" s="2">
        <v>45103.0</v>
      </c>
      <c r="B178" s="12">
        <f t="shared" si="1"/>
        <v>6</v>
      </c>
      <c r="C178" s="3">
        <v>74614.0</v>
      </c>
      <c r="D178" s="13">
        <f t="shared" si="2"/>
        <v>0.01719516445</v>
      </c>
      <c r="E178" s="5">
        <v>1283.0</v>
      </c>
      <c r="F178" s="14">
        <f t="shared" si="3"/>
        <v>1.690467654</v>
      </c>
      <c r="G178" s="14">
        <f t="shared" si="4"/>
        <v>29.0678693</v>
      </c>
      <c r="H178" s="4">
        <v>2168.87</v>
      </c>
      <c r="I178" s="13">
        <f t="shared" si="5"/>
        <v>0.02260327358</v>
      </c>
      <c r="J178" s="3">
        <v>29.0</v>
      </c>
      <c r="K178" s="14">
        <f t="shared" si="6"/>
        <v>146.8165517</v>
      </c>
      <c r="L178" s="4">
        <v>4257.68</v>
      </c>
      <c r="M178" s="15">
        <f t="shared" si="7"/>
        <v>1.963086769</v>
      </c>
    </row>
    <row r="179">
      <c r="A179" s="2">
        <v>45104.0</v>
      </c>
      <c r="B179" s="12">
        <f t="shared" si="1"/>
        <v>6</v>
      </c>
      <c r="C179" s="3">
        <v>28898.0</v>
      </c>
      <c r="D179" s="13">
        <f t="shared" si="2"/>
        <v>0.0269914873</v>
      </c>
      <c r="E179" s="3">
        <v>780.0</v>
      </c>
      <c r="F179" s="14">
        <f t="shared" si="3"/>
        <v>1.670525641</v>
      </c>
      <c r="G179" s="14">
        <f t="shared" si="4"/>
        <v>45.08997162</v>
      </c>
      <c r="H179" s="4">
        <v>1303.01</v>
      </c>
      <c r="I179" s="13">
        <f t="shared" si="5"/>
        <v>0.01923076923</v>
      </c>
      <c r="J179" s="3">
        <v>15.0</v>
      </c>
      <c r="K179" s="14">
        <f t="shared" si="6"/>
        <v>154.4573333</v>
      </c>
      <c r="L179" s="4">
        <v>2316.86</v>
      </c>
      <c r="M179" s="15">
        <f t="shared" si="7"/>
        <v>1.778083054</v>
      </c>
    </row>
    <row r="180">
      <c r="A180" s="2">
        <v>45105.0</v>
      </c>
      <c r="B180" s="12">
        <f t="shared" si="1"/>
        <v>6</v>
      </c>
      <c r="C180" s="3">
        <v>25283.0</v>
      </c>
      <c r="D180" s="13">
        <f t="shared" si="2"/>
        <v>0.01918285014</v>
      </c>
      <c r="E180" s="3">
        <v>485.0</v>
      </c>
      <c r="F180" s="14">
        <f t="shared" si="3"/>
        <v>1.791587629</v>
      </c>
      <c r="G180" s="14">
        <f t="shared" si="4"/>
        <v>34.36775699</v>
      </c>
      <c r="H180" s="4">
        <v>868.92</v>
      </c>
      <c r="I180" s="13">
        <f t="shared" si="5"/>
        <v>0.01855670103</v>
      </c>
      <c r="J180" s="3">
        <v>9.0</v>
      </c>
      <c r="K180" s="14">
        <f t="shared" si="6"/>
        <v>166.1644444</v>
      </c>
      <c r="L180" s="4">
        <v>1495.48</v>
      </c>
      <c r="M180" s="15">
        <f t="shared" si="7"/>
        <v>1.721079041</v>
      </c>
    </row>
    <row r="181">
      <c r="A181" s="2">
        <v>45106.0</v>
      </c>
      <c r="B181" s="12">
        <f t="shared" si="1"/>
        <v>6</v>
      </c>
      <c r="C181" s="3">
        <v>28922.0</v>
      </c>
      <c r="D181" s="13">
        <f t="shared" si="2"/>
        <v>0.01407233248</v>
      </c>
      <c r="E181" s="3">
        <v>407.0</v>
      </c>
      <c r="F181" s="14">
        <f t="shared" si="3"/>
        <v>1.192334152</v>
      </c>
      <c r="G181" s="14">
        <f t="shared" si="4"/>
        <v>16.77892262</v>
      </c>
      <c r="H181" s="4">
        <v>485.28</v>
      </c>
      <c r="I181" s="13">
        <f t="shared" si="5"/>
        <v>0.02211302211</v>
      </c>
      <c r="J181" s="3">
        <v>9.0</v>
      </c>
      <c r="K181" s="14">
        <f t="shared" si="6"/>
        <v>152.2455556</v>
      </c>
      <c r="L181" s="4">
        <v>1370.21</v>
      </c>
      <c r="M181" s="15">
        <f t="shared" si="7"/>
        <v>2.82354517</v>
      </c>
    </row>
    <row r="182">
      <c r="A182" s="2">
        <v>45107.0</v>
      </c>
      <c r="B182" s="12">
        <f t="shared" si="1"/>
        <v>6</v>
      </c>
      <c r="C182" s="3">
        <v>40708.0</v>
      </c>
      <c r="D182" s="13">
        <f t="shared" si="2"/>
        <v>0.0222806328</v>
      </c>
      <c r="E182" s="3">
        <v>907.0</v>
      </c>
      <c r="F182" s="14">
        <f t="shared" si="3"/>
        <v>1.931675854</v>
      </c>
      <c r="G182" s="14">
        <f t="shared" si="4"/>
        <v>43.0389604</v>
      </c>
      <c r="H182" s="4">
        <v>1752.03</v>
      </c>
      <c r="I182" s="13">
        <f t="shared" si="5"/>
        <v>0.01764057332</v>
      </c>
      <c r="J182" s="3">
        <v>16.0</v>
      </c>
      <c r="K182" s="14">
        <f t="shared" si="6"/>
        <v>154.653125</v>
      </c>
      <c r="L182" s="4">
        <v>2474.45</v>
      </c>
      <c r="M182" s="15">
        <f t="shared" si="7"/>
        <v>1.412333122</v>
      </c>
    </row>
    <row r="183">
      <c r="A183" s="2">
        <v>45108.0</v>
      </c>
      <c r="B183" s="12">
        <f t="shared" si="1"/>
        <v>7</v>
      </c>
      <c r="C183" s="3">
        <v>82221.0</v>
      </c>
      <c r="D183" s="13">
        <f t="shared" si="2"/>
        <v>0.02889772686</v>
      </c>
      <c r="E183" s="5">
        <v>2376.0</v>
      </c>
      <c r="F183" s="14">
        <f t="shared" si="3"/>
        <v>1.450113636</v>
      </c>
      <c r="G183" s="14">
        <f t="shared" si="4"/>
        <v>41.90498778</v>
      </c>
      <c r="H183" s="4">
        <v>3445.47</v>
      </c>
      <c r="I183" s="13">
        <f t="shared" si="5"/>
        <v>0.01893939394</v>
      </c>
      <c r="J183" s="3">
        <v>45.0</v>
      </c>
      <c r="K183" s="14">
        <f t="shared" si="6"/>
        <v>191.5946667</v>
      </c>
      <c r="L183" s="4">
        <v>8621.76</v>
      </c>
      <c r="M183" s="15">
        <f t="shared" si="7"/>
        <v>2.502346559</v>
      </c>
    </row>
    <row r="184">
      <c r="A184" s="2">
        <v>45109.0</v>
      </c>
      <c r="B184" s="12">
        <f t="shared" si="1"/>
        <v>7</v>
      </c>
      <c r="C184" s="3">
        <v>25683.0</v>
      </c>
      <c r="D184" s="13">
        <f t="shared" si="2"/>
        <v>0.02709963789</v>
      </c>
      <c r="E184" s="3">
        <v>696.0</v>
      </c>
      <c r="F184" s="14">
        <f t="shared" si="3"/>
        <v>1.04</v>
      </c>
      <c r="G184" s="14">
        <f t="shared" si="4"/>
        <v>28.18362341</v>
      </c>
      <c r="H184" s="4">
        <v>723.84</v>
      </c>
      <c r="I184" s="13">
        <f t="shared" si="5"/>
        <v>0.02011494253</v>
      </c>
      <c r="J184" s="3">
        <v>14.0</v>
      </c>
      <c r="K184" s="14">
        <f t="shared" si="6"/>
        <v>180.4257143</v>
      </c>
      <c r="L184" s="4">
        <v>2525.96</v>
      </c>
      <c r="M184" s="15">
        <f t="shared" si="7"/>
        <v>3.489666225</v>
      </c>
    </row>
    <row r="185">
      <c r="A185" s="2">
        <v>45110.0</v>
      </c>
      <c r="B185" s="12">
        <f t="shared" si="1"/>
        <v>7</v>
      </c>
      <c r="C185" s="3">
        <v>63264.0</v>
      </c>
      <c r="D185" s="13">
        <f t="shared" si="2"/>
        <v>0.01979008599</v>
      </c>
      <c r="E185" s="5">
        <v>1252.0</v>
      </c>
      <c r="F185" s="14">
        <f t="shared" si="3"/>
        <v>1.860926518</v>
      </c>
      <c r="G185" s="14">
        <f t="shared" si="4"/>
        <v>36.8278958</v>
      </c>
      <c r="H185" s="4">
        <v>2329.88</v>
      </c>
      <c r="I185" s="13">
        <f t="shared" si="5"/>
        <v>0.01277955272</v>
      </c>
      <c r="J185" s="3">
        <v>16.0</v>
      </c>
      <c r="K185" s="14">
        <f t="shared" si="6"/>
        <v>149.735625</v>
      </c>
      <c r="L185" s="4">
        <v>2395.77</v>
      </c>
      <c r="M185" s="15">
        <f t="shared" si="7"/>
        <v>1.028280426</v>
      </c>
    </row>
    <row r="186">
      <c r="A186" s="2">
        <v>45111.0</v>
      </c>
      <c r="B186" s="12">
        <f t="shared" si="1"/>
        <v>7</v>
      </c>
      <c r="C186" s="3">
        <v>75831.0</v>
      </c>
      <c r="D186" s="13">
        <f t="shared" si="2"/>
        <v>0.01719613351</v>
      </c>
      <c r="E186" s="5">
        <v>1304.0</v>
      </c>
      <c r="F186" s="14">
        <f t="shared" si="3"/>
        <v>1.000222393</v>
      </c>
      <c r="G186" s="14">
        <f t="shared" si="4"/>
        <v>17.1999578</v>
      </c>
      <c r="H186" s="4">
        <v>1304.29</v>
      </c>
      <c r="I186" s="13">
        <f t="shared" si="5"/>
        <v>0.01380368098</v>
      </c>
      <c r="J186" s="3">
        <v>18.0</v>
      </c>
      <c r="K186" s="14">
        <f t="shared" si="6"/>
        <v>188.2966667</v>
      </c>
      <c r="L186" s="4">
        <v>3389.34</v>
      </c>
      <c r="M186" s="15">
        <f t="shared" si="7"/>
        <v>2.598609205</v>
      </c>
    </row>
    <row r="187">
      <c r="A187" s="2">
        <v>45112.0</v>
      </c>
      <c r="B187" s="12">
        <f t="shared" si="1"/>
        <v>7</v>
      </c>
      <c r="C187" s="3">
        <v>86875.0</v>
      </c>
      <c r="D187" s="13">
        <f t="shared" si="2"/>
        <v>0.02729208633</v>
      </c>
      <c r="E187" s="5">
        <v>2371.0</v>
      </c>
      <c r="F187" s="14">
        <f t="shared" si="3"/>
        <v>1.470425981</v>
      </c>
      <c r="G187" s="14">
        <f t="shared" si="4"/>
        <v>40.13099281</v>
      </c>
      <c r="H187" s="4">
        <v>3486.38</v>
      </c>
      <c r="I187" s="13">
        <f t="shared" si="5"/>
        <v>0.01265288908</v>
      </c>
      <c r="J187" s="3">
        <v>30.0</v>
      </c>
      <c r="K187" s="14">
        <f t="shared" si="6"/>
        <v>145.938</v>
      </c>
      <c r="L187" s="4">
        <v>4378.14</v>
      </c>
      <c r="M187" s="15">
        <f t="shared" si="7"/>
        <v>1.255783936</v>
      </c>
    </row>
    <row r="188">
      <c r="A188" s="2">
        <v>45113.0</v>
      </c>
      <c r="B188" s="12">
        <f t="shared" si="1"/>
        <v>7</v>
      </c>
      <c r="C188" s="3">
        <v>24285.0</v>
      </c>
      <c r="D188" s="13">
        <f t="shared" si="2"/>
        <v>0.02207123739</v>
      </c>
      <c r="E188" s="3">
        <v>536.0</v>
      </c>
      <c r="F188" s="14">
        <f t="shared" si="3"/>
        <v>1.471902985</v>
      </c>
      <c r="G188" s="14">
        <f t="shared" si="4"/>
        <v>32.4867202</v>
      </c>
      <c r="H188" s="4">
        <v>788.94</v>
      </c>
      <c r="I188" s="13">
        <f t="shared" si="5"/>
        <v>0.01305970149</v>
      </c>
      <c r="J188" s="3">
        <v>7.0</v>
      </c>
      <c r="K188" s="14">
        <f t="shared" si="6"/>
        <v>124.76</v>
      </c>
      <c r="L188" s="4">
        <v>873.32</v>
      </c>
      <c r="M188" s="15">
        <f t="shared" si="7"/>
        <v>1.106953634</v>
      </c>
    </row>
    <row r="189">
      <c r="A189" s="2">
        <v>45114.0</v>
      </c>
      <c r="B189" s="12">
        <f t="shared" si="1"/>
        <v>7</v>
      </c>
      <c r="C189" s="3">
        <v>42691.0</v>
      </c>
      <c r="D189" s="13">
        <f t="shared" si="2"/>
        <v>0.02668009651</v>
      </c>
      <c r="E189" s="5">
        <v>1139.0</v>
      </c>
      <c r="F189" s="14">
        <f t="shared" si="3"/>
        <v>1.481097454</v>
      </c>
      <c r="G189" s="14">
        <f t="shared" si="4"/>
        <v>39.51582301</v>
      </c>
      <c r="H189" s="4">
        <v>1686.97</v>
      </c>
      <c r="I189" s="13">
        <f t="shared" si="5"/>
        <v>0.02282704126</v>
      </c>
      <c r="J189" s="3">
        <v>26.0</v>
      </c>
      <c r="K189" s="14">
        <f t="shared" si="6"/>
        <v>167.9303846</v>
      </c>
      <c r="L189" s="4">
        <v>4366.19</v>
      </c>
      <c r="M189" s="15">
        <f t="shared" si="7"/>
        <v>2.588184734</v>
      </c>
    </row>
    <row r="190">
      <c r="A190" s="2">
        <v>45115.0</v>
      </c>
      <c r="B190" s="12">
        <f t="shared" si="1"/>
        <v>7</v>
      </c>
      <c r="C190" s="3">
        <v>73001.0</v>
      </c>
      <c r="D190" s="13">
        <f t="shared" si="2"/>
        <v>0.01949288366</v>
      </c>
      <c r="E190" s="5">
        <v>1423.0</v>
      </c>
      <c r="F190" s="14">
        <f t="shared" si="3"/>
        <v>1.880681658</v>
      </c>
      <c r="G190" s="14">
        <f t="shared" si="4"/>
        <v>36.65990877</v>
      </c>
      <c r="H190" s="4">
        <v>2676.21</v>
      </c>
      <c r="I190" s="13">
        <f t="shared" si="5"/>
        <v>0.02178496135</v>
      </c>
      <c r="J190" s="3">
        <v>31.0</v>
      </c>
      <c r="K190" s="14">
        <f t="shared" si="6"/>
        <v>108.0590323</v>
      </c>
      <c r="L190" s="4">
        <v>3349.83</v>
      </c>
      <c r="M190" s="15">
        <f t="shared" si="7"/>
        <v>1.251706705</v>
      </c>
    </row>
    <row r="191">
      <c r="A191" s="2">
        <v>45116.0</v>
      </c>
      <c r="B191" s="12">
        <f t="shared" si="1"/>
        <v>7</v>
      </c>
      <c r="C191" s="3">
        <v>50947.0</v>
      </c>
      <c r="D191" s="13">
        <f t="shared" si="2"/>
        <v>0.01729248042</v>
      </c>
      <c r="E191" s="3">
        <v>881.0</v>
      </c>
      <c r="F191" s="14">
        <f t="shared" si="3"/>
        <v>1.710737798</v>
      </c>
      <c r="G191" s="14">
        <f t="shared" si="4"/>
        <v>29.58289988</v>
      </c>
      <c r="H191" s="4">
        <v>1507.16</v>
      </c>
      <c r="I191" s="13">
        <f t="shared" si="5"/>
        <v>0.02043132804</v>
      </c>
      <c r="J191" s="3">
        <v>18.0</v>
      </c>
      <c r="K191" s="14">
        <f t="shared" si="6"/>
        <v>102.8866667</v>
      </c>
      <c r="L191" s="4">
        <v>1851.96</v>
      </c>
      <c r="M191" s="15">
        <f t="shared" si="7"/>
        <v>1.228774649</v>
      </c>
    </row>
    <row r="192">
      <c r="A192" s="2">
        <v>45117.0</v>
      </c>
      <c r="B192" s="12">
        <f t="shared" si="1"/>
        <v>7</v>
      </c>
      <c r="C192" s="3">
        <v>46456.0</v>
      </c>
      <c r="D192" s="13">
        <f t="shared" si="2"/>
        <v>0.02649819184</v>
      </c>
      <c r="E192" s="5">
        <v>1231.0</v>
      </c>
      <c r="F192" s="14">
        <f t="shared" si="3"/>
        <v>1.460097482</v>
      </c>
      <c r="G192" s="14">
        <f t="shared" si="4"/>
        <v>38.68994317</v>
      </c>
      <c r="H192" s="4">
        <v>1797.38</v>
      </c>
      <c r="I192" s="13">
        <f t="shared" si="5"/>
        <v>0.01380991064</v>
      </c>
      <c r="J192" s="3">
        <v>17.0</v>
      </c>
      <c r="K192" s="14">
        <f t="shared" si="6"/>
        <v>125.1358824</v>
      </c>
      <c r="L192" s="4">
        <v>2127.31</v>
      </c>
      <c r="M192" s="15">
        <f t="shared" si="7"/>
        <v>1.183561629</v>
      </c>
    </row>
    <row r="193">
      <c r="A193" s="2">
        <v>45118.0</v>
      </c>
      <c r="B193" s="12">
        <f t="shared" si="1"/>
        <v>7</v>
      </c>
      <c r="C193" s="3">
        <v>84562.0</v>
      </c>
      <c r="D193" s="13">
        <f t="shared" si="2"/>
        <v>0.01288995057</v>
      </c>
      <c r="E193" s="5">
        <v>1090.0</v>
      </c>
      <c r="F193" s="14">
        <f t="shared" si="3"/>
        <v>1.301009174</v>
      </c>
      <c r="G193" s="14">
        <f t="shared" si="4"/>
        <v>16.76994395</v>
      </c>
      <c r="H193" s="4">
        <v>1418.1</v>
      </c>
      <c r="I193" s="13">
        <f t="shared" si="5"/>
        <v>0.01559633028</v>
      </c>
      <c r="J193" s="3">
        <v>17.0</v>
      </c>
      <c r="K193" s="14">
        <f t="shared" si="6"/>
        <v>178.7258824</v>
      </c>
      <c r="L193" s="4">
        <v>3038.34</v>
      </c>
      <c r="M193" s="15">
        <f t="shared" si="7"/>
        <v>2.142542839</v>
      </c>
    </row>
    <row r="194">
      <c r="A194" s="2">
        <v>45119.0</v>
      </c>
      <c r="B194" s="12">
        <f t="shared" si="1"/>
        <v>7</v>
      </c>
      <c r="C194" s="3">
        <v>96354.0</v>
      </c>
      <c r="D194" s="13">
        <f t="shared" si="2"/>
        <v>0.02869626585</v>
      </c>
      <c r="E194" s="5">
        <v>2765.0</v>
      </c>
      <c r="F194" s="14">
        <f t="shared" si="3"/>
        <v>1.220155515</v>
      </c>
      <c r="G194" s="14">
        <f t="shared" si="4"/>
        <v>35.01390705</v>
      </c>
      <c r="H194" s="4">
        <v>3373.73</v>
      </c>
      <c r="I194" s="13">
        <f t="shared" si="5"/>
        <v>0.02278481013</v>
      </c>
      <c r="J194" s="3">
        <v>63.0</v>
      </c>
      <c r="K194" s="14">
        <f t="shared" si="6"/>
        <v>153.7934921</v>
      </c>
      <c r="L194" s="4">
        <v>9688.99</v>
      </c>
      <c r="M194" s="15">
        <f t="shared" si="7"/>
        <v>2.871892534</v>
      </c>
    </row>
    <row r="195">
      <c r="A195" s="2">
        <v>45120.0</v>
      </c>
      <c r="B195" s="12">
        <f t="shared" si="1"/>
        <v>7</v>
      </c>
      <c r="C195" s="3">
        <v>37440.0</v>
      </c>
      <c r="D195" s="13">
        <f t="shared" si="2"/>
        <v>0.02919337607</v>
      </c>
      <c r="E195" s="5">
        <v>1093.0</v>
      </c>
      <c r="F195" s="14">
        <f t="shared" si="3"/>
        <v>1.580356816</v>
      </c>
      <c r="G195" s="14">
        <f t="shared" si="4"/>
        <v>46.13595085</v>
      </c>
      <c r="H195" s="4">
        <v>1727.33</v>
      </c>
      <c r="I195" s="13">
        <f t="shared" si="5"/>
        <v>0.02012808783</v>
      </c>
      <c r="J195" s="3">
        <v>22.0</v>
      </c>
      <c r="K195" s="14">
        <f t="shared" si="6"/>
        <v>198.6927273</v>
      </c>
      <c r="L195" s="4">
        <v>4371.24</v>
      </c>
      <c r="M195" s="15">
        <f t="shared" si="7"/>
        <v>2.530633984</v>
      </c>
    </row>
    <row r="196">
      <c r="A196" s="2">
        <v>45121.0</v>
      </c>
      <c r="B196" s="12">
        <f t="shared" si="1"/>
        <v>7</v>
      </c>
      <c r="C196" s="3">
        <v>54837.0</v>
      </c>
      <c r="D196" s="13">
        <f t="shared" si="2"/>
        <v>0.01278333972</v>
      </c>
      <c r="E196" s="3">
        <v>701.0</v>
      </c>
      <c r="F196" s="14">
        <f t="shared" si="3"/>
        <v>1.722239658</v>
      </c>
      <c r="G196" s="14">
        <f t="shared" si="4"/>
        <v>22.01597462</v>
      </c>
      <c r="H196" s="4">
        <v>1207.29</v>
      </c>
      <c r="I196" s="13">
        <f t="shared" si="5"/>
        <v>0.01854493581</v>
      </c>
      <c r="J196" s="3">
        <v>13.0</v>
      </c>
      <c r="K196" s="14">
        <f t="shared" si="6"/>
        <v>201.0984615</v>
      </c>
      <c r="L196" s="4">
        <v>2614.28</v>
      </c>
      <c r="M196" s="15">
        <f t="shared" si="7"/>
        <v>2.16541179</v>
      </c>
    </row>
    <row r="197">
      <c r="A197" s="2">
        <v>45122.0</v>
      </c>
      <c r="B197" s="12">
        <f t="shared" si="1"/>
        <v>7</v>
      </c>
      <c r="C197" s="3">
        <v>62057.0</v>
      </c>
      <c r="D197" s="13">
        <f t="shared" si="2"/>
        <v>0.01819295164</v>
      </c>
      <c r="E197" s="5">
        <v>1129.0</v>
      </c>
      <c r="F197" s="14">
        <f t="shared" si="3"/>
        <v>1.940744021</v>
      </c>
      <c r="G197" s="14">
        <f t="shared" si="4"/>
        <v>35.30786213</v>
      </c>
      <c r="H197" s="4">
        <v>2191.1</v>
      </c>
      <c r="I197" s="13">
        <f t="shared" si="5"/>
        <v>0.01860053144</v>
      </c>
      <c r="J197" s="3">
        <v>21.0</v>
      </c>
      <c r="K197" s="14">
        <f t="shared" si="6"/>
        <v>173.992381</v>
      </c>
      <c r="L197" s="4">
        <v>3653.84</v>
      </c>
      <c r="M197" s="15">
        <f t="shared" si="7"/>
        <v>1.667582493</v>
      </c>
    </row>
    <row r="198">
      <c r="A198" s="2">
        <v>45123.0</v>
      </c>
      <c r="B198" s="12">
        <f t="shared" si="1"/>
        <v>7</v>
      </c>
      <c r="C198" s="3">
        <v>86230.0</v>
      </c>
      <c r="D198" s="13">
        <f t="shared" si="2"/>
        <v>0.02419111678</v>
      </c>
      <c r="E198" s="5">
        <v>2086.0</v>
      </c>
      <c r="F198" s="14">
        <f t="shared" si="3"/>
        <v>1.660608821</v>
      </c>
      <c r="G198" s="14">
        <f t="shared" si="4"/>
        <v>40.17198191</v>
      </c>
      <c r="H198" s="4">
        <v>3464.03</v>
      </c>
      <c r="I198" s="13">
        <f t="shared" si="5"/>
        <v>0.02348993289</v>
      </c>
      <c r="J198" s="3">
        <v>49.0</v>
      </c>
      <c r="K198" s="14">
        <f t="shared" si="6"/>
        <v>141.7126531</v>
      </c>
      <c r="L198" s="4">
        <v>6943.92</v>
      </c>
      <c r="M198" s="15">
        <f t="shared" si="7"/>
        <v>2.004578482</v>
      </c>
    </row>
    <row r="199">
      <c r="A199" s="2">
        <v>45124.0</v>
      </c>
      <c r="B199" s="12">
        <f t="shared" si="1"/>
        <v>7</v>
      </c>
      <c r="C199" s="3">
        <v>46938.0</v>
      </c>
      <c r="D199" s="13">
        <f t="shared" si="2"/>
        <v>0.02718479697</v>
      </c>
      <c r="E199" s="5">
        <v>1276.0</v>
      </c>
      <c r="F199" s="14">
        <f t="shared" si="3"/>
        <v>1.400775862</v>
      </c>
      <c r="G199" s="14">
        <f t="shared" si="4"/>
        <v>38.07980741</v>
      </c>
      <c r="H199" s="4">
        <v>1787.39</v>
      </c>
      <c r="I199" s="13">
        <f t="shared" si="5"/>
        <v>0.01567398119</v>
      </c>
      <c r="J199" s="3">
        <v>20.0</v>
      </c>
      <c r="K199" s="14">
        <f t="shared" si="6"/>
        <v>193.4285</v>
      </c>
      <c r="L199" s="4">
        <v>3868.57</v>
      </c>
      <c r="M199" s="15">
        <f t="shared" si="7"/>
        <v>2.164368157</v>
      </c>
    </row>
    <row r="200">
      <c r="A200" s="2">
        <v>45125.0</v>
      </c>
      <c r="B200" s="12">
        <f t="shared" si="1"/>
        <v>7</v>
      </c>
      <c r="C200" s="3">
        <v>73367.0</v>
      </c>
      <c r="D200" s="13">
        <f t="shared" si="2"/>
        <v>0.02209440212</v>
      </c>
      <c r="E200" s="5">
        <v>1621.0</v>
      </c>
      <c r="F200" s="14">
        <f t="shared" si="3"/>
        <v>1.830462677</v>
      </c>
      <c r="G200" s="14">
        <f t="shared" si="4"/>
        <v>40.44297845</v>
      </c>
      <c r="H200" s="4">
        <v>2967.18</v>
      </c>
      <c r="I200" s="13">
        <f t="shared" si="5"/>
        <v>0.01295496607</v>
      </c>
      <c r="J200" s="3">
        <v>21.0</v>
      </c>
      <c r="K200" s="14">
        <f t="shared" si="6"/>
        <v>116.3171429</v>
      </c>
      <c r="L200" s="4">
        <v>2442.66</v>
      </c>
      <c r="M200" s="15">
        <f t="shared" si="7"/>
        <v>0.8232260935</v>
      </c>
    </row>
    <row r="201">
      <c r="A201" s="2">
        <v>45126.0</v>
      </c>
      <c r="B201" s="12">
        <f t="shared" si="1"/>
        <v>7</v>
      </c>
      <c r="C201" s="3">
        <v>28556.0</v>
      </c>
      <c r="D201" s="13">
        <f t="shared" si="2"/>
        <v>0.01617873652</v>
      </c>
      <c r="E201" s="3">
        <v>462.0</v>
      </c>
      <c r="F201" s="14">
        <f t="shared" si="3"/>
        <v>1.121471861</v>
      </c>
      <c r="G201" s="14">
        <f t="shared" si="4"/>
        <v>18.14399776</v>
      </c>
      <c r="H201" s="4">
        <v>518.12</v>
      </c>
      <c r="I201" s="13">
        <f t="shared" si="5"/>
        <v>0.02164502165</v>
      </c>
      <c r="J201" s="3">
        <v>10.0</v>
      </c>
      <c r="K201" s="14">
        <f t="shared" si="6"/>
        <v>137.82</v>
      </c>
      <c r="L201" s="4">
        <v>1378.2</v>
      </c>
      <c r="M201" s="15">
        <f t="shared" si="7"/>
        <v>2.660001544</v>
      </c>
    </row>
    <row r="202">
      <c r="A202" s="2">
        <v>45127.0</v>
      </c>
      <c r="B202" s="12">
        <f t="shared" si="1"/>
        <v>7</v>
      </c>
      <c r="C202" s="3">
        <v>31091.0</v>
      </c>
      <c r="D202" s="13">
        <f t="shared" si="2"/>
        <v>0.02939757486</v>
      </c>
      <c r="E202" s="3">
        <v>914.0</v>
      </c>
      <c r="F202" s="14">
        <f t="shared" si="3"/>
        <v>1.47012035</v>
      </c>
      <c r="G202" s="14">
        <f t="shared" si="4"/>
        <v>43.21797305</v>
      </c>
      <c r="H202" s="4">
        <v>1343.69</v>
      </c>
      <c r="I202" s="13">
        <f t="shared" si="5"/>
        <v>0.01422319475</v>
      </c>
      <c r="J202" s="3">
        <v>13.0</v>
      </c>
      <c r="K202" s="14">
        <f t="shared" si="6"/>
        <v>164.8992308</v>
      </c>
      <c r="L202" s="4">
        <v>2143.69</v>
      </c>
      <c r="M202" s="15">
        <f t="shared" si="7"/>
        <v>1.595375421</v>
      </c>
    </row>
    <row r="203">
      <c r="A203" s="2">
        <v>45128.0</v>
      </c>
      <c r="B203" s="12">
        <f t="shared" si="1"/>
        <v>7</v>
      </c>
      <c r="C203" s="3">
        <v>22502.0</v>
      </c>
      <c r="D203" s="13">
        <f t="shared" si="2"/>
        <v>0.01177673096</v>
      </c>
      <c r="E203" s="3">
        <v>265.0</v>
      </c>
      <c r="F203" s="14">
        <f t="shared" si="3"/>
        <v>1.25245283</v>
      </c>
      <c r="G203" s="14">
        <f t="shared" si="4"/>
        <v>14.74980002</v>
      </c>
      <c r="H203" s="4">
        <v>331.9</v>
      </c>
      <c r="I203" s="13">
        <f t="shared" si="5"/>
        <v>0.02264150943</v>
      </c>
      <c r="J203" s="3">
        <v>6.0</v>
      </c>
      <c r="K203" s="14">
        <f t="shared" si="6"/>
        <v>142.0333333</v>
      </c>
      <c r="L203" s="4">
        <v>852.2</v>
      </c>
      <c r="M203" s="15">
        <f t="shared" si="7"/>
        <v>2.567640856</v>
      </c>
    </row>
    <row r="204">
      <c r="A204" s="2">
        <v>45129.0</v>
      </c>
      <c r="B204" s="12">
        <f t="shared" si="1"/>
        <v>7</v>
      </c>
      <c r="C204" s="3">
        <v>23195.0</v>
      </c>
      <c r="D204" s="13">
        <f t="shared" si="2"/>
        <v>0.01556369907</v>
      </c>
      <c r="E204" s="3">
        <v>361.0</v>
      </c>
      <c r="F204" s="14">
        <f t="shared" si="3"/>
        <v>1.87434903</v>
      </c>
      <c r="G204" s="14">
        <f t="shared" si="4"/>
        <v>29.17180427</v>
      </c>
      <c r="H204" s="4">
        <v>676.64</v>
      </c>
      <c r="I204" s="13">
        <f t="shared" si="5"/>
        <v>0.01385041551</v>
      </c>
      <c r="J204" s="3">
        <v>5.0</v>
      </c>
      <c r="K204" s="14">
        <f t="shared" si="6"/>
        <v>117.534</v>
      </c>
      <c r="L204" s="4">
        <v>587.67</v>
      </c>
      <c r="M204" s="15">
        <f t="shared" si="7"/>
        <v>0.8685120596</v>
      </c>
    </row>
    <row r="205">
      <c r="A205" s="2">
        <v>45130.0</v>
      </c>
      <c r="B205" s="12">
        <f t="shared" si="1"/>
        <v>7</v>
      </c>
      <c r="C205" s="3">
        <v>16705.0</v>
      </c>
      <c r="D205" s="13">
        <f t="shared" si="2"/>
        <v>0.02256809339</v>
      </c>
      <c r="E205" s="3">
        <v>377.0</v>
      </c>
      <c r="F205" s="14">
        <f t="shared" si="3"/>
        <v>1.812546419</v>
      </c>
      <c r="G205" s="14">
        <f t="shared" si="4"/>
        <v>40.90571685</v>
      </c>
      <c r="H205" s="4">
        <v>683.33</v>
      </c>
      <c r="I205" s="13">
        <f t="shared" si="5"/>
        <v>0.01856763926</v>
      </c>
      <c r="J205" s="3">
        <v>7.0</v>
      </c>
      <c r="K205" s="14">
        <f t="shared" si="6"/>
        <v>219.9828571</v>
      </c>
      <c r="L205" s="4">
        <v>1539.88</v>
      </c>
      <c r="M205" s="15">
        <f t="shared" si="7"/>
        <v>2.253493919</v>
      </c>
    </row>
    <row r="206">
      <c r="A206" s="2">
        <v>45131.0</v>
      </c>
      <c r="B206" s="12">
        <f t="shared" si="1"/>
        <v>7</v>
      </c>
      <c r="C206" s="3">
        <v>88274.0</v>
      </c>
      <c r="D206" s="13">
        <f t="shared" si="2"/>
        <v>0.02189772753</v>
      </c>
      <c r="E206" s="5">
        <v>1933.0</v>
      </c>
      <c r="F206" s="14">
        <f t="shared" si="3"/>
        <v>1.060108639</v>
      </c>
      <c r="G206" s="14">
        <f t="shared" si="4"/>
        <v>23.21397014</v>
      </c>
      <c r="H206" s="4">
        <v>2049.19</v>
      </c>
      <c r="I206" s="13">
        <f t="shared" si="5"/>
        <v>0.01655457838</v>
      </c>
      <c r="J206" s="3">
        <v>32.0</v>
      </c>
      <c r="K206" s="14">
        <f t="shared" si="6"/>
        <v>121.3446875</v>
      </c>
      <c r="L206" s="4">
        <v>3883.03</v>
      </c>
      <c r="M206" s="15">
        <f t="shared" si="7"/>
        <v>1.894909696</v>
      </c>
    </row>
    <row r="207">
      <c r="A207" s="2">
        <v>45132.0</v>
      </c>
      <c r="B207" s="12">
        <f t="shared" si="1"/>
        <v>7</v>
      </c>
      <c r="C207" s="3">
        <v>39115.0</v>
      </c>
      <c r="D207" s="13">
        <f t="shared" si="2"/>
        <v>0.01127444714</v>
      </c>
      <c r="E207" s="3">
        <v>441.0</v>
      </c>
      <c r="F207" s="14">
        <f t="shared" si="3"/>
        <v>1.122517007</v>
      </c>
      <c r="G207" s="14">
        <f t="shared" si="4"/>
        <v>12.65575866</v>
      </c>
      <c r="H207" s="4">
        <v>495.03</v>
      </c>
      <c r="I207" s="13">
        <f t="shared" si="5"/>
        <v>0.01814058957</v>
      </c>
      <c r="J207" s="3">
        <v>8.0</v>
      </c>
      <c r="K207" s="14">
        <f t="shared" si="6"/>
        <v>188.955</v>
      </c>
      <c r="L207" s="4">
        <v>1511.64</v>
      </c>
      <c r="M207" s="15">
        <f t="shared" si="7"/>
        <v>3.053633113</v>
      </c>
    </row>
    <row r="208">
      <c r="A208" s="2">
        <v>45133.0</v>
      </c>
      <c r="B208" s="12">
        <f t="shared" si="1"/>
        <v>7</v>
      </c>
      <c r="C208" s="3">
        <v>18005.0</v>
      </c>
      <c r="D208" s="13">
        <f t="shared" si="2"/>
        <v>0.01988336573</v>
      </c>
      <c r="E208" s="3">
        <v>358.0</v>
      </c>
      <c r="F208" s="14">
        <f t="shared" si="3"/>
        <v>1.371145251</v>
      </c>
      <c r="G208" s="14">
        <f t="shared" si="4"/>
        <v>27.2629825</v>
      </c>
      <c r="H208" s="4">
        <v>490.87</v>
      </c>
      <c r="I208" s="13">
        <f t="shared" si="5"/>
        <v>0.02234636872</v>
      </c>
      <c r="J208" s="3">
        <v>8.0</v>
      </c>
      <c r="K208" s="14">
        <f t="shared" si="6"/>
        <v>135.375</v>
      </c>
      <c r="L208" s="4">
        <v>1083.0</v>
      </c>
      <c r="M208" s="15">
        <f t="shared" si="7"/>
        <v>2.206286797</v>
      </c>
    </row>
    <row r="209">
      <c r="A209" s="2">
        <v>45134.0</v>
      </c>
      <c r="B209" s="12">
        <f t="shared" si="1"/>
        <v>7</v>
      </c>
      <c r="C209" s="3">
        <v>53771.0</v>
      </c>
      <c r="D209" s="13">
        <f t="shared" si="2"/>
        <v>0.02899332354</v>
      </c>
      <c r="E209" s="5">
        <v>1559.0</v>
      </c>
      <c r="F209" s="14">
        <f t="shared" si="3"/>
        <v>1.760404105</v>
      </c>
      <c r="G209" s="14">
        <f t="shared" si="4"/>
        <v>51.03996578</v>
      </c>
      <c r="H209" s="4">
        <v>2744.47</v>
      </c>
      <c r="I209" s="13">
        <f t="shared" si="5"/>
        <v>0.01218729955</v>
      </c>
      <c r="J209" s="3">
        <v>19.0</v>
      </c>
      <c r="K209" s="14">
        <f t="shared" si="6"/>
        <v>144.7742105</v>
      </c>
      <c r="L209" s="4">
        <v>2750.71</v>
      </c>
      <c r="M209" s="15">
        <f t="shared" si="7"/>
        <v>1.002273663</v>
      </c>
    </row>
    <row r="210">
      <c r="A210" s="2">
        <v>45135.0</v>
      </c>
      <c r="B210" s="12">
        <f t="shared" si="1"/>
        <v>7</v>
      </c>
      <c r="C210" s="3">
        <v>88214.0</v>
      </c>
      <c r="D210" s="13">
        <f t="shared" si="2"/>
        <v>0.01299113519</v>
      </c>
      <c r="E210" s="5">
        <v>1146.0</v>
      </c>
      <c r="F210" s="14">
        <f t="shared" si="3"/>
        <v>1.751186736</v>
      </c>
      <c r="G210" s="14">
        <f t="shared" si="4"/>
        <v>22.74990364</v>
      </c>
      <c r="H210" s="4">
        <v>2006.86</v>
      </c>
      <c r="I210" s="13">
        <f t="shared" si="5"/>
        <v>0.01745200698</v>
      </c>
      <c r="J210" s="3">
        <v>20.0</v>
      </c>
      <c r="K210" s="14">
        <f t="shared" si="6"/>
        <v>117.006</v>
      </c>
      <c r="L210" s="4">
        <v>2340.12</v>
      </c>
      <c r="M210" s="15">
        <f t="shared" si="7"/>
        <v>1.166060413</v>
      </c>
    </row>
    <row r="211">
      <c r="A211" s="2">
        <v>45136.0</v>
      </c>
      <c r="B211" s="12">
        <f t="shared" si="1"/>
        <v>7</v>
      </c>
      <c r="C211" s="3">
        <v>40749.0</v>
      </c>
      <c r="D211" s="13">
        <f t="shared" si="2"/>
        <v>0.02377972466</v>
      </c>
      <c r="E211" s="3">
        <v>969.0</v>
      </c>
      <c r="F211" s="14">
        <f t="shared" si="3"/>
        <v>1.321124871</v>
      </c>
      <c r="G211" s="14">
        <f t="shared" si="4"/>
        <v>31.41598567</v>
      </c>
      <c r="H211" s="4">
        <v>1280.17</v>
      </c>
      <c r="I211" s="13">
        <f t="shared" si="5"/>
        <v>0.01651186791</v>
      </c>
      <c r="J211" s="3">
        <v>16.0</v>
      </c>
      <c r="K211" s="14">
        <f t="shared" si="6"/>
        <v>175.12</v>
      </c>
      <c r="L211" s="4">
        <v>2801.92</v>
      </c>
      <c r="M211" s="15">
        <f t="shared" si="7"/>
        <v>2.188709312</v>
      </c>
    </row>
    <row r="212">
      <c r="A212" s="2">
        <v>45137.0</v>
      </c>
      <c r="B212" s="12">
        <f t="shared" si="1"/>
        <v>7</v>
      </c>
      <c r="C212" s="3">
        <v>48390.0</v>
      </c>
      <c r="D212" s="13">
        <f t="shared" si="2"/>
        <v>0.01748295102</v>
      </c>
      <c r="E212" s="3">
        <v>846.0</v>
      </c>
      <c r="F212" s="14">
        <f t="shared" si="3"/>
        <v>1.11107565</v>
      </c>
      <c r="G212" s="14">
        <f t="shared" si="4"/>
        <v>19.42488117</v>
      </c>
      <c r="H212" s="4">
        <v>939.97</v>
      </c>
      <c r="I212" s="13">
        <f t="shared" si="5"/>
        <v>0.01654846336</v>
      </c>
      <c r="J212" s="3">
        <v>14.0</v>
      </c>
      <c r="K212" s="14">
        <f t="shared" si="6"/>
        <v>165.24</v>
      </c>
      <c r="L212" s="4">
        <v>2313.36</v>
      </c>
      <c r="M212" s="15">
        <f t="shared" si="7"/>
        <v>2.461099822</v>
      </c>
    </row>
    <row r="213">
      <c r="A213" s="2">
        <v>45138.0</v>
      </c>
      <c r="B213" s="12">
        <f t="shared" si="1"/>
        <v>7</v>
      </c>
      <c r="C213" s="3">
        <v>36444.0</v>
      </c>
      <c r="D213" s="13">
        <f t="shared" si="2"/>
        <v>0.02368016683</v>
      </c>
      <c r="E213" s="3">
        <v>863.0</v>
      </c>
      <c r="F213" s="14">
        <f t="shared" si="3"/>
        <v>1.851541136</v>
      </c>
      <c r="G213" s="14">
        <f t="shared" si="4"/>
        <v>43.84480299</v>
      </c>
      <c r="H213" s="4">
        <v>1597.88</v>
      </c>
      <c r="I213" s="13">
        <f t="shared" si="5"/>
        <v>0.01853997683</v>
      </c>
      <c r="J213" s="3">
        <v>16.0</v>
      </c>
      <c r="K213" s="14">
        <f t="shared" si="6"/>
        <v>191.649375</v>
      </c>
      <c r="L213" s="4">
        <v>3066.39</v>
      </c>
      <c r="M213" s="15">
        <f t="shared" si="7"/>
        <v>1.919036473</v>
      </c>
    </row>
    <row r="214">
      <c r="A214" s="2">
        <v>45139.0</v>
      </c>
      <c r="B214" s="12">
        <f t="shared" si="1"/>
        <v>8</v>
      </c>
      <c r="C214" s="3">
        <v>50980.0</v>
      </c>
      <c r="D214" s="13">
        <f t="shared" si="2"/>
        <v>0.01549627305</v>
      </c>
      <c r="E214" s="3">
        <v>790.0</v>
      </c>
      <c r="F214" s="14">
        <f t="shared" si="3"/>
        <v>1.410329114</v>
      </c>
      <c r="G214" s="14">
        <f t="shared" si="4"/>
        <v>21.85484504</v>
      </c>
      <c r="H214" s="4">
        <v>1114.16</v>
      </c>
      <c r="I214" s="13">
        <f t="shared" si="5"/>
        <v>0.0164556962</v>
      </c>
      <c r="J214" s="3">
        <v>13.0</v>
      </c>
      <c r="K214" s="14">
        <f t="shared" si="6"/>
        <v>170.5353846</v>
      </c>
      <c r="L214" s="4">
        <v>2216.96</v>
      </c>
      <c r="M214" s="15">
        <f t="shared" si="7"/>
        <v>1.989803978</v>
      </c>
    </row>
    <row r="215">
      <c r="A215" s="2">
        <v>45140.0</v>
      </c>
      <c r="B215" s="12">
        <f t="shared" si="1"/>
        <v>8</v>
      </c>
      <c r="C215" s="3">
        <v>53099.0</v>
      </c>
      <c r="D215" s="13">
        <f t="shared" si="2"/>
        <v>0.01608316541</v>
      </c>
      <c r="E215" s="3">
        <v>854.0</v>
      </c>
      <c r="F215" s="14">
        <f t="shared" si="3"/>
        <v>1.101147541</v>
      </c>
      <c r="G215" s="14">
        <f t="shared" si="4"/>
        <v>17.70993804</v>
      </c>
      <c r="H215" s="4">
        <v>940.38</v>
      </c>
      <c r="I215" s="13">
        <f t="shared" si="5"/>
        <v>0.02224824356</v>
      </c>
      <c r="J215" s="3">
        <v>19.0</v>
      </c>
      <c r="K215" s="14">
        <f t="shared" si="6"/>
        <v>116.4321053</v>
      </c>
      <c r="L215" s="4">
        <v>2212.21</v>
      </c>
      <c r="M215" s="15">
        <f t="shared" si="7"/>
        <v>2.352463898</v>
      </c>
    </row>
    <row r="216">
      <c r="A216" s="2">
        <v>45141.0</v>
      </c>
      <c r="B216" s="12">
        <f t="shared" si="1"/>
        <v>8</v>
      </c>
      <c r="C216" s="3">
        <v>73679.0</v>
      </c>
      <c r="D216" s="13">
        <f t="shared" si="2"/>
        <v>0.02688690129</v>
      </c>
      <c r="E216" s="5">
        <v>1981.0</v>
      </c>
      <c r="F216" s="14">
        <f t="shared" si="3"/>
        <v>1.560757193</v>
      </c>
      <c r="G216" s="14">
        <f t="shared" si="4"/>
        <v>41.96392459</v>
      </c>
      <c r="H216" s="4">
        <v>3091.86</v>
      </c>
      <c r="I216" s="13">
        <f t="shared" si="5"/>
        <v>0.02170620899</v>
      </c>
      <c r="J216" s="3">
        <v>43.0</v>
      </c>
      <c r="K216" s="14">
        <f t="shared" si="6"/>
        <v>139.1616279</v>
      </c>
      <c r="L216" s="4">
        <v>5983.95</v>
      </c>
      <c r="M216" s="15">
        <f t="shared" si="7"/>
        <v>1.935388407</v>
      </c>
    </row>
    <row r="217">
      <c r="A217" s="2">
        <v>45142.0</v>
      </c>
      <c r="B217" s="12">
        <f t="shared" si="1"/>
        <v>8</v>
      </c>
      <c r="C217" s="3">
        <v>38948.0</v>
      </c>
      <c r="D217" s="13">
        <f t="shared" si="2"/>
        <v>0.02059155797</v>
      </c>
      <c r="E217" s="3">
        <v>802.0</v>
      </c>
      <c r="F217" s="14">
        <f t="shared" si="3"/>
        <v>1.530623441</v>
      </c>
      <c r="G217" s="14">
        <f t="shared" si="4"/>
        <v>31.51792133</v>
      </c>
      <c r="H217" s="4">
        <v>1227.56</v>
      </c>
      <c r="I217" s="13">
        <f t="shared" si="5"/>
        <v>0.0174563591</v>
      </c>
      <c r="J217" s="3">
        <v>14.0</v>
      </c>
      <c r="K217" s="14">
        <f t="shared" si="6"/>
        <v>137.8285714</v>
      </c>
      <c r="L217" s="4">
        <v>1929.6</v>
      </c>
      <c r="M217" s="15">
        <f t="shared" si="7"/>
        <v>1.571898726</v>
      </c>
    </row>
    <row r="218">
      <c r="A218" s="2">
        <v>45143.0</v>
      </c>
      <c r="B218" s="12">
        <f t="shared" si="1"/>
        <v>8</v>
      </c>
      <c r="C218" s="3">
        <v>39670.0</v>
      </c>
      <c r="D218" s="13">
        <f t="shared" si="2"/>
        <v>0.02127552307</v>
      </c>
      <c r="E218" s="3">
        <v>844.0</v>
      </c>
      <c r="F218" s="14">
        <f t="shared" si="3"/>
        <v>1.601836493</v>
      </c>
      <c r="G218" s="14">
        <f t="shared" si="4"/>
        <v>34.07990925</v>
      </c>
      <c r="H218" s="4">
        <v>1351.95</v>
      </c>
      <c r="I218" s="13">
        <f t="shared" si="5"/>
        <v>0.01895734597</v>
      </c>
      <c r="J218" s="3">
        <v>16.0</v>
      </c>
      <c r="K218" s="14">
        <f t="shared" si="6"/>
        <v>125.731875</v>
      </c>
      <c r="L218" s="4">
        <v>2011.71</v>
      </c>
      <c r="M218" s="15">
        <f t="shared" si="7"/>
        <v>1.488006213</v>
      </c>
    </row>
    <row r="219">
      <c r="A219" s="2">
        <v>45144.0</v>
      </c>
      <c r="B219" s="12">
        <f t="shared" si="1"/>
        <v>8</v>
      </c>
      <c r="C219" s="3">
        <v>48916.0</v>
      </c>
      <c r="D219" s="13">
        <f t="shared" si="2"/>
        <v>0.0125930166</v>
      </c>
      <c r="E219" s="3">
        <v>616.0</v>
      </c>
      <c r="F219" s="14">
        <f t="shared" si="3"/>
        <v>1.150633117</v>
      </c>
      <c r="G219" s="14">
        <f t="shared" si="4"/>
        <v>14.48994194</v>
      </c>
      <c r="H219" s="4">
        <v>708.79</v>
      </c>
      <c r="I219" s="13">
        <f t="shared" si="5"/>
        <v>0.0211038961</v>
      </c>
      <c r="J219" s="3">
        <v>13.0</v>
      </c>
      <c r="K219" s="14">
        <f t="shared" si="6"/>
        <v>148.4769231</v>
      </c>
      <c r="L219" s="4">
        <v>1930.2</v>
      </c>
      <c r="M219" s="15">
        <f t="shared" si="7"/>
        <v>2.723232551</v>
      </c>
    </row>
    <row r="220">
      <c r="A220" s="2">
        <v>45145.0</v>
      </c>
      <c r="B220" s="12">
        <f t="shared" si="1"/>
        <v>8</v>
      </c>
      <c r="C220" s="3">
        <v>64865.0</v>
      </c>
      <c r="D220" s="13">
        <f t="shared" si="2"/>
        <v>0.02959993833</v>
      </c>
      <c r="E220" s="5">
        <v>1920.0</v>
      </c>
      <c r="F220" s="14">
        <f t="shared" si="3"/>
        <v>1.96</v>
      </c>
      <c r="G220" s="14">
        <f t="shared" si="4"/>
        <v>58.01587913</v>
      </c>
      <c r="H220" s="4">
        <v>3763.2</v>
      </c>
      <c r="I220" s="13">
        <f t="shared" si="5"/>
        <v>0.02395833333</v>
      </c>
      <c r="J220" s="3">
        <v>46.0</v>
      </c>
      <c r="K220" s="14">
        <f t="shared" si="6"/>
        <v>162.95</v>
      </c>
      <c r="L220" s="4">
        <v>7495.7</v>
      </c>
      <c r="M220" s="15">
        <f t="shared" si="7"/>
        <v>1.991842049</v>
      </c>
    </row>
    <row r="221">
      <c r="A221" s="2">
        <v>45146.0</v>
      </c>
      <c r="B221" s="12">
        <f t="shared" si="1"/>
        <v>8</v>
      </c>
      <c r="C221" s="3">
        <v>98040.0</v>
      </c>
      <c r="D221" s="13">
        <f t="shared" si="2"/>
        <v>0.01679926561</v>
      </c>
      <c r="E221" s="5">
        <v>1647.0</v>
      </c>
      <c r="F221" s="14">
        <f t="shared" si="3"/>
        <v>1.180048573</v>
      </c>
      <c r="G221" s="14">
        <f t="shared" si="4"/>
        <v>19.82394941</v>
      </c>
      <c r="H221" s="4">
        <v>1943.54</v>
      </c>
      <c r="I221" s="13">
        <f t="shared" si="5"/>
        <v>0.02125075896</v>
      </c>
      <c r="J221" s="3">
        <v>35.0</v>
      </c>
      <c r="K221" s="14">
        <f t="shared" si="6"/>
        <v>124.2928571</v>
      </c>
      <c r="L221" s="4">
        <v>4350.25</v>
      </c>
      <c r="M221" s="15">
        <f t="shared" si="7"/>
        <v>2.238312564</v>
      </c>
    </row>
    <row r="222">
      <c r="A222" s="2">
        <v>45147.0</v>
      </c>
      <c r="B222" s="12">
        <f t="shared" si="1"/>
        <v>8</v>
      </c>
      <c r="C222" s="3">
        <v>32581.0</v>
      </c>
      <c r="D222" s="13">
        <f t="shared" si="2"/>
        <v>0.01009790982</v>
      </c>
      <c r="E222" s="3">
        <v>329.0</v>
      </c>
      <c r="F222" s="14">
        <f t="shared" si="3"/>
        <v>1.400273556</v>
      </c>
      <c r="G222" s="14">
        <f t="shared" si="4"/>
        <v>14.1398361</v>
      </c>
      <c r="H222" s="4">
        <v>460.69</v>
      </c>
      <c r="I222" s="13">
        <f t="shared" si="5"/>
        <v>0.02431610942</v>
      </c>
      <c r="J222" s="3">
        <v>8.0</v>
      </c>
      <c r="K222" s="14">
        <f t="shared" si="6"/>
        <v>132.0175</v>
      </c>
      <c r="L222" s="4">
        <v>1056.14</v>
      </c>
      <c r="M222" s="15">
        <f t="shared" si="7"/>
        <v>2.292517745</v>
      </c>
    </row>
    <row r="223">
      <c r="A223" s="2">
        <v>45148.0</v>
      </c>
      <c r="B223" s="12">
        <f t="shared" si="1"/>
        <v>8</v>
      </c>
      <c r="C223" s="3">
        <v>55945.0</v>
      </c>
      <c r="D223" s="13">
        <f t="shared" si="2"/>
        <v>0.02089552239</v>
      </c>
      <c r="E223" s="5">
        <v>1169.0</v>
      </c>
      <c r="F223" s="14">
        <f t="shared" si="3"/>
        <v>1.930410607</v>
      </c>
      <c r="G223" s="14">
        <f t="shared" si="4"/>
        <v>40.33693806</v>
      </c>
      <c r="H223" s="4">
        <v>2256.65</v>
      </c>
      <c r="I223" s="13">
        <f t="shared" si="5"/>
        <v>0.0128314799</v>
      </c>
      <c r="J223" s="3">
        <v>15.0</v>
      </c>
      <c r="K223" s="14">
        <f t="shared" si="6"/>
        <v>160.32</v>
      </c>
      <c r="L223" s="4">
        <v>2404.8</v>
      </c>
      <c r="M223" s="15">
        <f t="shared" si="7"/>
        <v>1.065650411</v>
      </c>
    </row>
    <row r="224">
      <c r="A224" s="2">
        <v>45149.0</v>
      </c>
      <c r="B224" s="12">
        <f t="shared" si="1"/>
        <v>8</v>
      </c>
      <c r="C224" s="3">
        <v>84152.0</v>
      </c>
      <c r="D224" s="13">
        <f t="shared" si="2"/>
        <v>0.01488972336</v>
      </c>
      <c r="E224" s="5">
        <v>1253.0</v>
      </c>
      <c r="F224" s="14">
        <f t="shared" si="3"/>
        <v>1.551069433</v>
      </c>
      <c r="G224" s="14">
        <f t="shared" si="4"/>
        <v>23.09499477</v>
      </c>
      <c r="H224" s="4">
        <v>1943.49</v>
      </c>
      <c r="I224" s="13">
        <f t="shared" si="5"/>
        <v>0.02234636872</v>
      </c>
      <c r="J224" s="3">
        <v>28.0</v>
      </c>
      <c r="K224" s="14">
        <f t="shared" si="6"/>
        <v>109.825</v>
      </c>
      <c r="L224" s="4">
        <v>3075.1</v>
      </c>
      <c r="M224" s="15">
        <f t="shared" si="7"/>
        <v>1.582256662</v>
      </c>
    </row>
    <row r="225">
      <c r="A225" s="2">
        <v>45150.0</v>
      </c>
      <c r="B225" s="12">
        <f t="shared" si="1"/>
        <v>8</v>
      </c>
      <c r="C225" s="3">
        <v>17289.0</v>
      </c>
      <c r="D225" s="13">
        <f t="shared" si="2"/>
        <v>0.01665799063</v>
      </c>
      <c r="E225" s="3">
        <v>288.0</v>
      </c>
      <c r="F225" s="14">
        <f t="shared" si="3"/>
        <v>1.8646875</v>
      </c>
      <c r="G225" s="14">
        <f t="shared" si="4"/>
        <v>31.0619469</v>
      </c>
      <c r="H225" s="4">
        <v>537.03</v>
      </c>
      <c r="I225" s="13">
        <f t="shared" si="5"/>
        <v>0.02083333333</v>
      </c>
      <c r="J225" s="3">
        <v>6.0</v>
      </c>
      <c r="K225" s="14">
        <f t="shared" si="6"/>
        <v>200.6066667</v>
      </c>
      <c r="L225" s="4">
        <v>1203.64</v>
      </c>
      <c r="M225" s="15">
        <f t="shared" si="7"/>
        <v>2.241290058</v>
      </c>
    </row>
    <row r="226">
      <c r="A226" s="2">
        <v>45151.0</v>
      </c>
      <c r="B226" s="12">
        <f t="shared" si="1"/>
        <v>8</v>
      </c>
      <c r="C226" s="3">
        <v>54915.0</v>
      </c>
      <c r="D226" s="13">
        <f t="shared" si="2"/>
        <v>0.01298370209</v>
      </c>
      <c r="E226" s="3">
        <v>713.0</v>
      </c>
      <c r="F226" s="14">
        <f t="shared" si="3"/>
        <v>1.491865358</v>
      </c>
      <c r="G226" s="14">
        <f t="shared" si="4"/>
        <v>19.36993535</v>
      </c>
      <c r="H226" s="4">
        <v>1063.7</v>
      </c>
      <c r="I226" s="13">
        <f t="shared" si="5"/>
        <v>0.0126227209</v>
      </c>
      <c r="J226" s="3">
        <v>9.0</v>
      </c>
      <c r="K226" s="14">
        <f t="shared" si="6"/>
        <v>119.9344444</v>
      </c>
      <c r="L226" s="4">
        <v>1079.41</v>
      </c>
      <c r="M226" s="15">
        <f t="shared" si="7"/>
        <v>1.014769202</v>
      </c>
    </row>
    <row r="227">
      <c r="A227" s="2">
        <v>45152.0</v>
      </c>
      <c r="B227" s="12">
        <f t="shared" si="1"/>
        <v>8</v>
      </c>
      <c r="C227" s="3">
        <v>94500.0</v>
      </c>
      <c r="D227" s="13">
        <f t="shared" si="2"/>
        <v>0.0220952381</v>
      </c>
      <c r="E227" s="5">
        <v>2088.0</v>
      </c>
      <c r="F227" s="14">
        <f t="shared" si="3"/>
        <v>1.24026341</v>
      </c>
      <c r="G227" s="14">
        <f t="shared" si="4"/>
        <v>27.40391534</v>
      </c>
      <c r="H227" s="4">
        <v>2589.67</v>
      </c>
      <c r="I227" s="13">
        <f t="shared" si="5"/>
        <v>0.01867816092</v>
      </c>
      <c r="J227" s="3">
        <v>39.0</v>
      </c>
      <c r="K227" s="14">
        <f t="shared" si="6"/>
        <v>204.5610256</v>
      </c>
      <c r="L227" s="4">
        <v>7977.88</v>
      </c>
      <c r="M227" s="15">
        <f t="shared" si="7"/>
        <v>3.080655064</v>
      </c>
    </row>
    <row r="228">
      <c r="A228" s="2">
        <v>45153.0</v>
      </c>
      <c r="B228" s="12">
        <f t="shared" si="1"/>
        <v>8</v>
      </c>
      <c r="C228" s="3">
        <v>75026.0</v>
      </c>
      <c r="D228" s="13">
        <f t="shared" si="2"/>
        <v>0.02839015808</v>
      </c>
      <c r="E228" s="5">
        <v>2130.0</v>
      </c>
      <c r="F228" s="14">
        <f t="shared" si="3"/>
        <v>1.650568075</v>
      </c>
      <c r="G228" s="14">
        <f t="shared" si="4"/>
        <v>46.85988857</v>
      </c>
      <c r="H228" s="4">
        <v>3515.71</v>
      </c>
      <c r="I228" s="13">
        <f t="shared" si="5"/>
        <v>0.01220657277</v>
      </c>
      <c r="J228" s="3">
        <v>26.0</v>
      </c>
      <c r="K228" s="14">
        <f t="shared" si="6"/>
        <v>135.22</v>
      </c>
      <c r="L228" s="4">
        <v>3515.72</v>
      </c>
      <c r="M228" s="15">
        <f t="shared" si="7"/>
        <v>1.000002844</v>
      </c>
    </row>
    <row r="229">
      <c r="A229" s="2">
        <v>45154.0</v>
      </c>
      <c r="B229" s="12">
        <f t="shared" si="1"/>
        <v>8</v>
      </c>
      <c r="C229" s="3">
        <v>30890.0</v>
      </c>
      <c r="D229" s="13">
        <f t="shared" si="2"/>
        <v>0.0245710586</v>
      </c>
      <c r="E229" s="3">
        <v>759.0</v>
      </c>
      <c r="F229" s="14">
        <f t="shared" si="3"/>
        <v>1.101291173</v>
      </c>
      <c r="G229" s="14">
        <f t="shared" si="4"/>
        <v>27.05988993</v>
      </c>
      <c r="H229" s="4">
        <v>835.88</v>
      </c>
      <c r="I229" s="13">
        <f t="shared" si="5"/>
        <v>0.01185770751</v>
      </c>
      <c r="J229" s="3">
        <v>9.0</v>
      </c>
      <c r="K229" s="14">
        <f t="shared" si="6"/>
        <v>167.5144444</v>
      </c>
      <c r="L229" s="4">
        <v>1507.63</v>
      </c>
      <c r="M229" s="15">
        <f t="shared" si="7"/>
        <v>1.803644064</v>
      </c>
    </row>
    <row r="230">
      <c r="A230" s="2">
        <v>45155.0</v>
      </c>
      <c r="B230" s="12">
        <f t="shared" si="1"/>
        <v>8</v>
      </c>
      <c r="C230" s="3">
        <v>91216.0</v>
      </c>
      <c r="D230" s="13">
        <f t="shared" si="2"/>
        <v>0.0132981056</v>
      </c>
      <c r="E230" s="5">
        <v>1213.0</v>
      </c>
      <c r="F230" s="14">
        <f t="shared" si="3"/>
        <v>1.830255565</v>
      </c>
      <c r="G230" s="14">
        <f t="shared" si="4"/>
        <v>24.33893177</v>
      </c>
      <c r="H230" s="4">
        <v>2220.1</v>
      </c>
      <c r="I230" s="13">
        <f t="shared" si="5"/>
        <v>0.02061005771</v>
      </c>
      <c r="J230" s="3">
        <v>25.0</v>
      </c>
      <c r="K230" s="14">
        <f t="shared" si="6"/>
        <v>140.5728</v>
      </c>
      <c r="L230" s="4">
        <v>3514.32</v>
      </c>
      <c r="M230" s="15">
        <f t="shared" si="7"/>
        <v>1.582955723</v>
      </c>
    </row>
    <row r="231">
      <c r="A231" s="2">
        <v>45156.0</v>
      </c>
      <c r="B231" s="12">
        <f t="shared" si="1"/>
        <v>8</v>
      </c>
      <c r="C231" s="3">
        <v>72902.0</v>
      </c>
      <c r="D231" s="13">
        <f t="shared" si="2"/>
        <v>0.01919014568</v>
      </c>
      <c r="E231" s="5">
        <v>1399.0</v>
      </c>
      <c r="F231" s="14">
        <f t="shared" si="3"/>
        <v>1.520779128</v>
      </c>
      <c r="G231" s="14">
        <f t="shared" si="4"/>
        <v>29.183973</v>
      </c>
      <c r="H231" s="4">
        <v>2127.57</v>
      </c>
      <c r="I231" s="13">
        <f t="shared" si="5"/>
        <v>0.02430307362</v>
      </c>
      <c r="J231" s="3">
        <v>34.0</v>
      </c>
      <c r="K231" s="14">
        <f t="shared" si="6"/>
        <v>145.2414706</v>
      </c>
      <c r="L231" s="4">
        <v>4938.21</v>
      </c>
      <c r="M231" s="15">
        <f t="shared" si="7"/>
        <v>2.321056416</v>
      </c>
    </row>
    <row r="232">
      <c r="A232" s="2">
        <v>45157.0</v>
      </c>
      <c r="B232" s="12">
        <f t="shared" si="1"/>
        <v>8</v>
      </c>
      <c r="C232" s="3">
        <v>11758.0</v>
      </c>
      <c r="D232" s="13">
        <f t="shared" si="2"/>
        <v>0.02228270114</v>
      </c>
      <c r="E232" s="3">
        <v>262.0</v>
      </c>
      <c r="F232" s="14">
        <f t="shared" si="3"/>
        <v>1.561183206</v>
      </c>
      <c r="G232" s="14">
        <f t="shared" si="4"/>
        <v>34.78737881</v>
      </c>
      <c r="H232" s="4">
        <v>409.03</v>
      </c>
      <c r="I232" s="13">
        <f t="shared" si="5"/>
        <v>0.01908396947</v>
      </c>
      <c r="J232" s="3">
        <v>5.0</v>
      </c>
      <c r="K232" s="14">
        <f t="shared" si="6"/>
        <v>145.208</v>
      </c>
      <c r="L232" s="4">
        <v>726.04</v>
      </c>
      <c r="M232" s="15">
        <f t="shared" si="7"/>
        <v>1.775028726</v>
      </c>
    </row>
    <row r="233">
      <c r="A233" s="2">
        <v>45158.0</v>
      </c>
      <c r="B233" s="12">
        <f t="shared" si="1"/>
        <v>8</v>
      </c>
      <c r="C233" s="3">
        <v>14164.0</v>
      </c>
      <c r="D233" s="13">
        <f t="shared" si="2"/>
        <v>0.0203332392</v>
      </c>
      <c r="E233" s="3">
        <v>288.0</v>
      </c>
      <c r="F233" s="14">
        <f t="shared" si="3"/>
        <v>1.635347222</v>
      </c>
      <c r="G233" s="14">
        <f t="shared" si="4"/>
        <v>33.25190624</v>
      </c>
      <c r="H233" s="4">
        <v>470.98</v>
      </c>
      <c r="I233" s="13">
        <f t="shared" si="5"/>
        <v>0.01388888889</v>
      </c>
      <c r="J233" s="3">
        <v>4.0</v>
      </c>
      <c r="K233" s="14">
        <f t="shared" si="6"/>
        <v>157.7925</v>
      </c>
      <c r="L233" s="4">
        <v>631.17</v>
      </c>
      <c r="M233" s="15">
        <f t="shared" si="7"/>
        <v>1.3401206</v>
      </c>
    </row>
    <row r="234">
      <c r="A234" s="2">
        <v>45159.0</v>
      </c>
      <c r="B234" s="12">
        <f t="shared" si="1"/>
        <v>8</v>
      </c>
      <c r="C234" s="3">
        <v>11775.0</v>
      </c>
      <c r="D234" s="13">
        <f t="shared" si="2"/>
        <v>0.01639065817</v>
      </c>
      <c r="E234" s="3">
        <v>193.0</v>
      </c>
      <c r="F234" s="14">
        <f t="shared" si="3"/>
        <v>1.140621762</v>
      </c>
      <c r="G234" s="14">
        <f t="shared" si="4"/>
        <v>18.6955414</v>
      </c>
      <c r="H234" s="4">
        <v>220.14</v>
      </c>
      <c r="I234" s="13">
        <f t="shared" si="5"/>
        <v>0.01554404145</v>
      </c>
      <c r="J234" s="3">
        <v>3.0</v>
      </c>
      <c r="K234" s="14">
        <f t="shared" si="6"/>
        <v>234.3066667</v>
      </c>
      <c r="L234" s="4">
        <v>702.92</v>
      </c>
      <c r="M234" s="15">
        <f t="shared" si="7"/>
        <v>3.193058962</v>
      </c>
    </row>
    <row r="235">
      <c r="A235" s="2">
        <v>45160.0</v>
      </c>
      <c r="B235" s="12">
        <f t="shared" si="1"/>
        <v>8</v>
      </c>
      <c r="C235" s="3">
        <v>54177.0</v>
      </c>
      <c r="D235" s="13">
        <f t="shared" si="2"/>
        <v>0.02589659819</v>
      </c>
      <c r="E235" s="5">
        <v>1403.0</v>
      </c>
      <c r="F235" s="14">
        <f t="shared" si="3"/>
        <v>1.690220955</v>
      </c>
      <c r="G235" s="14">
        <f t="shared" si="4"/>
        <v>43.77097292</v>
      </c>
      <c r="H235" s="4">
        <v>2371.38</v>
      </c>
      <c r="I235" s="13">
        <f t="shared" si="5"/>
        <v>0.01282965075</v>
      </c>
      <c r="J235" s="3">
        <v>18.0</v>
      </c>
      <c r="K235" s="14">
        <f t="shared" si="6"/>
        <v>184.1677778</v>
      </c>
      <c r="L235" s="4">
        <v>3315.02</v>
      </c>
      <c r="M235" s="15">
        <f t="shared" si="7"/>
        <v>1.397928632</v>
      </c>
    </row>
    <row r="236">
      <c r="A236" s="2">
        <v>45161.0</v>
      </c>
      <c r="B236" s="12">
        <f t="shared" si="1"/>
        <v>8</v>
      </c>
      <c r="C236" s="3">
        <v>88744.0</v>
      </c>
      <c r="D236" s="13">
        <f t="shared" si="2"/>
        <v>0.02599612368</v>
      </c>
      <c r="E236" s="5">
        <v>2307.0</v>
      </c>
      <c r="F236" s="14">
        <f t="shared" si="3"/>
        <v>1.140169051</v>
      </c>
      <c r="G236" s="14">
        <f t="shared" si="4"/>
        <v>29.63997566</v>
      </c>
      <c r="H236" s="4">
        <v>2630.37</v>
      </c>
      <c r="I236" s="13">
        <f t="shared" si="5"/>
        <v>0.01473775466</v>
      </c>
      <c r="J236" s="3">
        <v>34.0</v>
      </c>
      <c r="K236" s="14">
        <f t="shared" si="6"/>
        <v>179.9864706</v>
      </c>
      <c r="L236" s="4">
        <v>6119.54</v>
      </c>
      <c r="M236" s="15">
        <f t="shared" si="7"/>
        <v>2.326493991</v>
      </c>
    </row>
    <row r="237">
      <c r="A237" s="2">
        <v>45162.0</v>
      </c>
      <c r="B237" s="12">
        <f t="shared" si="1"/>
        <v>8</v>
      </c>
      <c r="C237" s="3">
        <v>23927.0</v>
      </c>
      <c r="D237" s="13">
        <f t="shared" si="2"/>
        <v>0.02938103398</v>
      </c>
      <c r="E237" s="3">
        <v>703.0</v>
      </c>
      <c r="F237" s="14">
        <f t="shared" si="3"/>
        <v>1.300825036</v>
      </c>
      <c r="G237" s="14">
        <f t="shared" si="4"/>
        <v>38.21958457</v>
      </c>
      <c r="H237" s="4">
        <v>914.48</v>
      </c>
      <c r="I237" s="13">
        <f t="shared" si="5"/>
        <v>0.0213371266</v>
      </c>
      <c r="J237" s="3">
        <v>15.0</v>
      </c>
      <c r="K237" s="14">
        <f t="shared" si="6"/>
        <v>155.426</v>
      </c>
      <c r="L237" s="4">
        <v>2331.39</v>
      </c>
      <c r="M237" s="15">
        <f t="shared" si="7"/>
        <v>2.549416062</v>
      </c>
    </row>
    <row r="238">
      <c r="A238" s="2">
        <v>45163.0</v>
      </c>
      <c r="B238" s="12">
        <f t="shared" si="1"/>
        <v>8</v>
      </c>
      <c r="C238" s="3">
        <v>89752.0</v>
      </c>
      <c r="D238" s="13">
        <f t="shared" si="2"/>
        <v>0.01569881451</v>
      </c>
      <c r="E238" s="5">
        <v>1409.0</v>
      </c>
      <c r="F238" s="14">
        <f t="shared" si="3"/>
        <v>1.970141945</v>
      </c>
      <c r="G238" s="14">
        <f t="shared" si="4"/>
        <v>30.92889295</v>
      </c>
      <c r="H238" s="4">
        <v>2775.93</v>
      </c>
      <c r="I238" s="13">
        <f t="shared" si="5"/>
        <v>0.01703335699</v>
      </c>
      <c r="J238" s="3">
        <v>24.0</v>
      </c>
      <c r="K238" s="14">
        <f t="shared" si="6"/>
        <v>187.9104167</v>
      </c>
      <c r="L238" s="4">
        <v>4509.85</v>
      </c>
      <c r="M238" s="15">
        <f t="shared" si="7"/>
        <v>1.624626702</v>
      </c>
    </row>
    <row r="239">
      <c r="A239" s="2">
        <v>45164.0</v>
      </c>
      <c r="B239" s="12">
        <f t="shared" si="1"/>
        <v>8</v>
      </c>
      <c r="C239" s="3">
        <v>76685.0</v>
      </c>
      <c r="D239" s="13">
        <f t="shared" si="2"/>
        <v>0.01639173241</v>
      </c>
      <c r="E239" s="5">
        <v>1257.0</v>
      </c>
      <c r="F239" s="14">
        <f t="shared" si="3"/>
        <v>1.760883055</v>
      </c>
      <c r="G239" s="14">
        <f t="shared" si="4"/>
        <v>28.86392384</v>
      </c>
      <c r="H239" s="4">
        <v>2213.43</v>
      </c>
      <c r="I239" s="13">
        <f t="shared" si="5"/>
        <v>0.01988862371</v>
      </c>
      <c r="J239" s="3">
        <v>25.0</v>
      </c>
      <c r="K239" s="14">
        <f t="shared" si="6"/>
        <v>152.9284</v>
      </c>
      <c r="L239" s="4">
        <v>3823.21</v>
      </c>
      <c r="M239" s="15">
        <f t="shared" si="7"/>
        <v>1.727278477</v>
      </c>
    </row>
    <row r="240">
      <c r="A240" s="2">
        <v>45165.0</v>
      </c>
      <c r="B240" s="12">
        <f t="shared" si="1"/>
        <v>8</v>
      </c>
      <c r="C240" s="3">
        <v>58195.0</v>
      </c>
      <c r="D240" s="13">
        <f t="shared" si="2"/>
        <v>0.02479594467</v>
      </c>
      <c r="E240" s="5">
        <v>1443.0</v>
      </c>
      <c r="F240" s="14">
        <f t="shared" si="3"/>
        <v>1.7302772</v>
      </c>
      <c r="G240" s="14">
        <f t="shared" si="4"/>
        <v>42.90385772</v>
      </c>
      <c r="H240" s="4">
        <v>2496.79</v>
      </c>
      <c r="I240" s="13">
        <f t="shared" si="5"/>
        <v>0.01732501733</v>
      </c>
      <c r="J240" s="3">
        <v>25.0</v>
      </c>
      <c r="K240" s="14">
        <f t="shared" si="6"/>
        <v>123.2524</v>
      </c>
      <c r="L240" s="4">
        <v>3081.31</v>
      </c>
      <c r="M240" s="15">
        <f t="shared" si="7"/>
        <v>1.234108595</v>
      </c>
    </row>
    <row r="241">
      <c r="A241" s="2">
        <v>45166.0</v>
      </c>
      <c r="B241" s="12">
        <f t="shared" si="1"/>
        <v>8</v>
      </c>
      <c r="C241" s="3">
        <v>26918.0</v>
      </c>
      <c r="D241" s="13">
        <f t="shared" si="2"/>
        <v>0.01448844639</v>
      </c>
      <c r="E241" s="3">
        <v>390.0</v>
      </c>
      <c r="F241" s="14">
        <f t="shared" si="3"/>
        <v>1.711358974</v>
      </c>
      <c r="G241" s="14">
        <f t="shared" si="4"/>
        <v>24.79493276</v>
      </c>
      <c r="H241" s="4">
        <v>667.43</v>
      </c>
      <c r="I241" s="13">
        <f t="shared" si="5"/>
        <v>0.01025641026</v>
      </c>
      <c r="J241" s="3">
        <v>4.0</v>
      </c>
      <c r="K241" s="14">
        <f t="shared" si="6"/>
        <v>168.3225</v>
      </c>
      <c r="L241" s="4">
        <v>673.29</v>
      </c>
      <c r="M241" s="15">
        <f t="shared" si="7"/>
        <v>1.008779947</v>
      </c>
    </row>
    <row r="242">
      <c r="A242" s="2">
        <v>45167.0</v>
      </c>
      <c r="B242" s="12">
        <f t="shared" si="1"/>
        <v>8</v>
      </c>
      <c r="C242" s="3">
        <v>50916.0</v>
      </c>
      <c r="D242" s="13">
        <f t="shared" si="2"/>
        <v>0.01219655904</v>
      </c>
      <c r="E242" s="3">
        <v>621.0</v>
      </c>
      <c r="F242" s="14">
        <f t="shared" si="3"/>
        <v>1.470402576</v>
      </c>
      <c r="G242" s="14">
        <f t="shared" si="4"/>
        <v>17.93385183</v>
      </c>
      <c r="H242" s="4">
        <v>913.12</v>
      </c>
      <c r="I242" s="13">
        <f t="shared" si="5"/>
        <v>0.02093397746</v>
      </c>
      <c r="J242" s="3">
        <v>13.0</v>
      </c>
      <c r="K242" s="14">
        <f t="shared" si="6"/>
        <v>175.8023077</v>
      </c>
      <c r="L242" s="4">
        <v>2285.43</v>
      </c>
      <c r="M242" s="15">
        <f t="shared" si="7"/>
        <v>2.502880235</v>
      </c>
    </row>
    <row r="243">
      <c r="A243" s="2">
        <v>45168.0</v>
      </c>
      <c r="B243" s="12">
        <f t="shared" si="1"/>
        <v>8</v>
      </c>
      <c r="C243" s="3">
        <v>14691.0</v>
      </c>
      <c r="D243" s="13">
        <f t="shared" si="2"/>
        <v>0.01967190797</v>
      </c>
      <c r="E243" s="3">
        <v>289.0</v>
      </c>
      <c r="F243" s="14">
        <f t="shared" si="3"/>
        <v>2.00283737</v>
      </c>
      <c r="G243" s="14">
        <f t="shared" si="4"/>
        <v>39.39963243</v>
      </c>
      <c r="H243" s="4">
        <v>578.82</v>
      </c>
      <c r="I243" s="13">
        <f t="shared" si="5"/>
        <v>0.01730103806</v>
      </c>
      <c r="J243" s="3">
        <v>5.0</v>
      </c>
      <c r="K243" s="14">
        <f t="shared" si="6"/>
        <v>117.838</v>
      </c>
      <c r="L243" s="4">
        <v>589.19</v>
      </c>
      <c r="M243" s="15">
        <f t="shared" si="7"/>
        <v>1.01791576</v>
      </c>
    </row>
    <row r="244">
      <c r="A244" s="2">
        <v>45169.0</v>
      </c>
      <c r="B244" s="12">
        <f t="shared" si="1"/>
        <v>8</v>
      </c>
      <c r="C244" s="3">
        <v>69387.0</v>
      </c>
      <c r="D244" s="13">
        <f t="shared" si="2"/>
        <v>0.01909579604</v>
      </c>
      <c r="E244" s="5">
        <v>1325.0</v>
      </c>
      <c r="F244" s="14">
        <f t="shared" si="3"/>
        <v>1.070233962</v>
      </c>
      <c r="G244" s="14">
        <f t="shared" si="4"/>
        <v>20.43696946</v>
      </c>
      <c r="H244" s="4">
        <v>1418.06</v>
      </c>
      <c r="I244" s="13">
        <f t="shared" si="5"/>
        <v>0.0158490566</v>
      </c>
      <c r="J244" s="3">
        <v>21.0</v>
      </c>
      <c r="K244" s="14">
        <f t="shared" si="6"/>
        <v>144.7409524</v>
      </c>
      <c r="L244" s="4">
        <v>3039.56</v>
      </c>
      <c r="M244" s="15">
        <f t="shared" si="7"/>
        <v>2.143463605</v>
      </c>
    </row>
    <row r="245">
      <c r="A245" s="2">
        <v>45170.0</v>
      </c>
      <c r="B245" s="12">
        <f t="shared" si="1"/>
        <v>9</v>
      </c>
      <c r="C245" s="3">
        <v>88615.0</v>
      </c>
      <c r="D245" s="13">
        <f t="shared" si="2"/>
        <v>0.0146927721</v>
      </c>
      <c r="E245" s="5">
        <v>1302.0</v>
      </c>
      <c r="F245" s="14">
        <f t="shared" si="3"/>
        <v>1.860913978</v>
      </c>
      <c r="G245" s="14">
        <f t="shared" si="4"/>
        <v>27.34198499</v>
      </c>
      <c r="H245" s="4">
        <v>2422.91</v>
      </c>
      <c r="I245" s="13">
        <f t="shared" si="5"/>
        <v>0.02304147465</v>
      </c>
      <c r="J245" s="3">
        <v>30.0</v>
      </c>
      <c r="K245" s="14">
        <f t="shared" si="6"/>
        <v>105.6703333</v>
      </c>
      <c r="L245" s="4">
        <v>3170.11</v>
      </c>
      <c r="M245" s="15">
        <f t="shared" si="7"/>
        <v>1.308389499</v>
      </c>
    </row>
    <row r="246">
      <c r="A246" s="2">
        <v>45171.0</v>
      </c>
      <c r="B246" s="12">
        <f t="shared" si="1"/>
        <v>9</v>
      </c>
      <c r="C246" s="3">
        <v>54624.0</v>
      </c>
      <c r="D246" s="13">
        <f t="shared" si="2"/>
        <v>0.02619727592</v>
      </c>
      <c r="E246" s="5">
        <v>1431.0</v>
      </c>
      <c r="F246" s="14">
        <f t="shared" si="3"/>
        <v>1.000097834</v>
      </c>
      <c r="G246" s="14">
        <f t="shared" si="4"/>
        <v>26.1998389</v>
      </c>
      <c r="H246" s="4">
        <v>1431.14</v>
      </c>
      <c r="I246" s="13">
        <f t="shared" si="5"/>
        <v>0.01677148847</v>
      </c>
      <c r="J246" s="3">
        <v>24.0</v>
      </c>
      <c r="K246" s="14">
        <f t="shared" si="6"/>
        <v>114.2058333</v>
      </c>
      <c r="L246" s="4">
        <v>2740.94</v>
      </c>
      <c r="M246" s="15">
        <f t="shared" si="7"/>
        <v>1.915214444</v>
      </c>
    </row>
    <row r="247">
      <c r="A247" s="2">
        <v>45172.0</v>
      </c>
      <c r="B247" s="12">
        <f t="shared" si="1"/>
        <v>9</v>
      </c>
      <c r="C247" s="3">
        <v>22282.0</v>
      </c>
      <c r="D247" s="13">
        <f t="shared" si="2"/>
        <v>0.026299255</v>
      </c>
      <c r="E247" s="3">
        <v>586.0</v>
      </c>
      <c r="F247" s="14">
        <f t="shared" si="3"/>
        <v>1.160017065</v>
      </c>
      <c r="G247" s="14">
        <f t="shared" si="4"/>
        <v>30.5075846</v>
      </c>
      <c r="H247" s="4">
        <v>679.77</v>
      </c>
      <c r="I247" s="13">
        <f t="shared" si="5"/>
        <v>0.01194539249</v>
      </c>
      <c r="J247" s="3">
        <v>7.0</v>
      </c>
      <c r="K247" s="14">
        <f t="shared" si="6"/>
        <v>186.4371429</v>
      </c>
      <c r="L247" s="4">
        <v>1305.06</v>
      </c>
      <c r="M247" s="15">
        <f t="shared" si="7"/>
        <v>1.919855245</v>
      </c>
    </row>
    <row r="248">
      <c r="A248" s="2">
        <v>45173.0</v>
      </c>
      <c r="B248" s="12">
        <f t="shared" si="1"/>
        <v>9</v>
      </c>
      <c r="C248" s="3">
        <v>93812.0</v>
      </c>
      <c r="D248" s="13">
        <f t="shared" si="2"/>
        <v>0.02679827741</v>
      </c>
      <c r="E248" s="5">
        <v>2514.0</v>
      </c>
      <c r="F248" s="14">
        <f t="shared" si="3"/>
        <v>1.190075577</v>
      </c>
      <c r="G248" s="14">
        <f t="shared" si="4"/>
        <v>31.89197544</v>
      </c>
      <c r="H248" s="4">
        <v>2991.85</v>
      </c>
      <c r="I248" s="13">
        <f t="shared" si="5"/>
        <v>0.02028639618</v>
      </c>
      <c r="J248" s="3">
        <v>51.0</v>
      </c>
      <c r="K248" s="14">
        <f t="shared" si="6"/>
        <v>163.7162745</v>
      </c>
      <c r="L248" s="4">
        <v>8349.53</v>
      </c>
      <c r="M248" s="15">
        <f t="shared" si="7"/>
        <v>2.790758227</v>
      </c>
    </row>
    <row r="249">
      <c r="A249" s="2">
        <v>45174.0</v>
      </c>
      <c r="B249" s="12">
        <f t="shared" si="1"/>
        <v>9</v>
      </c>
      <c r="C249" s="3">
        <v>97918.0</v>
      </c>
      <c r="D249" s="13">
        <f t="shared" si="2"/>
        <v>0.01859719357</v>
      </c>
      <c r="E249" s="5">
        <v>1821.0</v>
      </c>
      <c r="F249" s="14">
        <f t="shared" si="3"/>
        <v>1.660247117</v>
      </c>
      <c r="G249" s="14">
        <f t="shared" si="4"/>
        <v>30.87593701</v>
      </c>
      <c r="H249" s="4">
        <v>3023.31</v>
      </c>
      <c r="I249" s="13">
        <f t="shared" si="5"/>
        <v>0.01757276222</v>
      </c>
      <c r="J249" s="3">
        <v>32.0</v>
      </c>
      <c r="K249" s="14">
        <f t="shared" si="6"/>
        <v>206.0315625</v>
      </c>
      <c r="L249" s="4">
        <v>6593.01</v>
      </c>
      <c r="M249" s="15">
        <f t="shared" si="7"/>
        <v>2.180725761</v>
      </c>
    </row>
    <row r="250">
      <c r="A250" s="2">
        <v>45175.0</v>
      </c>
      <c r="B250" s="12">
        <f t="shared" si="1"/>
        <v>9</v>
      </c>
      <c r="C250" s="3">
        <v>32836.0</v>
      </c>
      <c r="D250" s="13">
        <f t="shared" si="2"/>
        <v>0.02497259106</v>
      </c>
      <c r="E250" s="3">
        <v>820.0</v>
      </c>
      <c r="F250" s="14">
        <f t="shared" si="3"/>
        <v>1.922097561</v>
      </c>
      <c r="G250" s="14">
        <f t="shared" si="4"/>
        <v>47.99975636</v>
      </c>
      <c r="H250" s="4">
        <v>1576.12</v>
      </c>
      <c r="I250" s="13">
        <f t="shared" si="5"/>
        <v>0.01341463415</v>
      </c>
      <c r="J250" s="3">
        <v>11.0</v>
      </c>
      <c r="K250" s="14">
        <f t="shared" si="6"/>
        <v>195.8818182</v>
      </c>
      <c r="L250" s="4">
        <v>2154.7</v>
      </c>
      <c r="M250" s="15">
        <f t="shared" si="7"/>
        <v>1.367091338</v>
      </c>
    </row>
    <row r="251">
      <c r="A251" s="2">
        <v>45176.0</v>
      </c>
      <c r="B251" s="12">
        <f t="shared" si="1"/>
        <v>9</v>
      </c>
      <c r="C251" s="3">
        <v>15457.0</v>
      </c>
      <c r="D251" s="13">
        <f t="shared" si="2"/>
        <v>0.01326259947</v>
      </c>
      <c r="E251" s="3">
        <v>205.0</v>
      </c>
      <c r="F251" s="14">
        <f t="shared" si="3"/>
        <v>1.975512195</v>
      </c>
      <c r="G251" s="14">
        <f t="shared" si="4"/>
        <v>26.20042699</v>
      </c>
      <c r="H251" s="4">
        <v>404.98</v>
      </c>
      <c r="I251" s="13">
        <f t="shared" si="5"/>
        <v>0.009756097561</v>
      </c>
      <c r="J251" s="3">
        <v>2.0</v>
      </c>
      <c r="K251" s="14">
        <f t="shared" si="6"/>
        <v>197.15</v>
      </c>
      <c r="L251" s="4">
        <v>394.3</v>
      </c>
      <c r="M251" s="15">
        <f t="shared" si="7"/>
        <v>0.9736283273</v>
      </c>
    </row>
    <row r="252">
      <c r="A252" s="2">
        <v>45177.0</v>
      </c>
      <c r="B252" s="12">
        <f t="shared" si="1"/>
        <v>9</v>
      </c>
      <c r="C252" s="3">
        <v>48461.0</v>
      </c>
      <c r="D252" s="13">
        <f t="shared" si="2"/>
        <v>0.01359856379</v>
      </c>
      <c r="E252" s="3">
        <v>659.0</v>
      </c>
      <c r="F252" s="14">
        <f t="shared" si="3"/>
        <v>1.67016692</v>
      </c>
      <c r="G252" s="14">
        <f t="shared" si="4"/>
        <v>22.7118714</v>
      </c>
      <c r="H252" s="4">
        <v>1100.64</v>
      </c>
      <c r="I252" s="13">
        <f t="shared" si="5"/>
        <v>0.02276176024</v>
      </c>
      <c r="J252" s="3">
        <v>15.0</v>
      </c>
      <c r="K252" s="14">
        <f t="shared" si="6"/>
        <v>161.6213333</v>
      </c>
      <c r="L252" s="4">
        <v>2424.32</v>
      </c>
      <c r="M252" s="15">
        <f t="shared" si="7"/>
        <v>2.202645733</v>
      </c>
    </row>
    <row r="253">
      <c r="A253" s="2">
        <v>45178.0</v>
      </c>
      <c r="B253" s="12">
        <f t="shared" si="1"/>
        <v>9</v>
      </c>
      <c r="C253" s="3">
        <v>15448.0</v>
      </c>
      <c r="D253" s="13">
        <f t="shared" si="2"/>
        <v>0.02654065251</v>
      </c>
      <c r="E253" s="3">
        <v>410.0</v>
      </c>
      <c r="F253" s="14">
        <f t="shared" si="3"/>
        <v>1.062365854</v>
      </c>
      <c r="G253" s="14">
        <f t="shared" si="4"/>
        <v>28.19588296</v>
      </c>
      <c r="H253" s="4">
        <v>435.57</v>
      </c>
      <c r="I253" s="13">
        <f t="shared" si="5"/>
        <v>0.01219512195</v>
      </c>
      <c r="J253" s="3">
        <v>5.0</v>
      </c>
      <c r="K253" s="14">
        <f t="shared" si="6"/>
        <v>174.886</v>
      </c>
      <c r="L253" s="4">
        <v>874.43</v>
      </c>
      <c r="M253" s="15">
        <f t="shared" si="7"/>
        <v>2.007553321</v>
      </c>
    </row>
    <row r="254">
      <c r="A254" s="2">
        <v>45179.0</v>
      </c>
      <c r="B254" s="12">
        <f t="shared" si="1"/>
        <v>9</v>
      </c>
      <c r="C254" s="3">
        <v>63862.0</v>
      </c>
      <c r="D254" s="13">
        <f t="shared" si="2"/>
        <v>0.01899408099</v>
      </c>
      <c r="E254" s="5">
        <v>1213.0</v>
      </c>
      <c r="F254" s="14">
        <f t="shared" si="3"/>
        <v>1.79055235</v>
      </c>
      <c r="G254" s="14">
        <f t="shared" si="4"/>
        <v>34.00989634</v>
      </c>
      <c r="H254" s="4">
        <v>2171.94</v>
      </c>
      <c r="I254" s="13">
        <f t="shared" si="5"/>
        <v>0.01648804617</v>
      </c>
      <c r="J254" s="3">
        <v>20.0</v>
      </c>
      <c r="K254" s="14">
        <f t="shared" si="6"/>
        <v>147.037</v>
      </c>
      <c r="L254" s="4">
        <v>2940.74</v>
      </c>
      <c r="M254" s="15">
        <f t="shared" si="7"/>
        <v>1.353969263</v>
      </c>
    </row>
    <row r="255">
      <c r="A255" s="2">
        <v>45180.0</v>
      </c>
      <c r="B255" s="12">
        <f t="shared" si="1"/>
        <v>9</v>
      </c>
      <c r="C255" s="3">
        <v>62801.0</v>
      </c>
      <c r="D255" s="13">
        <f t="shared" si="2"/>
        <v>0.009999840767</v>
      </c>
      <c r="E255" s="3">
        <v>628.0</v>
      </c>
      <c r="F255" s="14">
        <f t="shared" si="3"/>
        <v>1.730015924</v>
      </c>
      <c r="G255" s="14">
        <f t="shared" si="4"/>
        <v>17.29988376</v>
      </c>
      <c r="H255" s="4">
        <v>1086.45</v>
      </c>
      <c r="I255" s="13">
        <f t="shared" si="5"/>
        <v>0.02388535032</v>
      </c>
      <c r="J255" s="3">
        <v>15.0</v>
      </c>
      <c r="K255" s="14">
        <f t="shared" si="6"/>
        <v>193.3013333</v>
      </c>
      <c r="L255" s="4">
        <v>2899.52</v>
      </c>
      <c r="M255" s="15">
        <f t="shared" si="7"/>
        <v>2.668802062</v>
      </c>
    </row>
    <row r="256">
      <c r="A256" s="2">
        <v>45181.0</v>
      </c>
      <c r="B256" s="12">
        <f t="shared" si="1"/>
        <v>9</v>
      </c>
      <c r="C256" s="3">
        <v>53734.0</v>
      </c>
      <c r="D256" s="13">
        <f t="shared" si="2"/>
        <v>0.01449733874</v>
      </c>
      <c r="E256" s="3">
        <v>779.0</v>
      </c>
      <c r="F256" s="14">
        <f t="shared" si="3"/>
        <v>1.410256739</v>
      </c>
      <c r="G256" s="14">
        <f t="shared" si="4"/>
        <v>20.44496967</v>
      </c>
      <c r="H256" s="4">
        <v>1098.59</v>
      </c>
      <c r="I256" s="13">
        <f t="shared" si="5"/>
        <v>0.01540436457</v>
      </c>
      <c r="J256" s="3">
        <v>12.0</v>
      </c>
      <c r="K256" s="14">
        <f t="shared" si="6"/>
        <v>196.8508333</v>
      </c>
      <c r="L256" s="4">
        <v>2362.21</v>
      </c>
      <c r="M256" s="15">
        <f t="shared" si="7"/>
        <v>2.150219827</v>
      </c>
    </row>
    <row r="257">
      <c r="A257" s="2">
        <v>45182.0</v>
      </c>
      <c r="B257" s="12">
        <f t="shared" si="1"/>
        <v>9</v>
      </c>
      <c r="C257" s="3">
        <v>94469.0</v>
      </c>
      <c r="D257" s="13">
        <f t="shared" si="2"/>
        <v>0.01619578909</v>
      </c>
      <c r="E257" s="5">
        <v>1530.0</v>
      </c>
      <c r="F257" s="14">
        <f t="shared" si="3"/>
        <v>1.08027451</v>
      </c>
      <c r="G257" s="14">
        <f t="shared" si="4"/>
        <v>17.49589813</v>
      </c>
      <c r="H257" s="4">
        <v>1652.82</v>
      </c>
      <c r="I257" s="13">
        <f t="shared" si="5"/>
        <v>0.02287581699</v>
      </c>
      <c r="J257" s="3">
        <v>35.0</v>
      </c>
      <c r="K257" s="14">
        <f t="shared" si="6"/>
        <v>161.212</v>
      </c>
      <c r="L257" s="4">
        <v>5642.42</v>
      </c>
      <c r="M257" s="15">
        <f t="shared" si="7"/>
        <v>3.413813966</v>
      </c>
    </row>
    <row r="258">
      <c r="A258" s="2">
        <v>45183.0</v>
      </c>
      <c r="B258" s="12">
        <f t="shared" si="1"/>
        <v>9</v>
      </c>
      <c r="C258" s="3">
        <v>78852.0</v>
      </c>
      <c r="D258" s="13">
        <f t="shared" si="2"/>
        <v>0.02109014356</v>
      </c>
      <c r="E258" s="5">
        <v>1663.0</v>
      </c>
      <c r="F258" s="14">
        <f t="shared" si="3"/>
        <v>1.220565244</v>
      </c>
      <c r="G258" s="14">
        <f t="shared" si="4"/>
        <v>25.74189621</v>
      </c>
      <c r="H258" s="4">
        <v>2029.8</v>
      </c>
      <c r="I258" s="13">
        <f t="shared" si="5"/>
        <v>0.0228502706</v>
      </c>
      <c r="J258" s="3">
        <v>38.0</v>
      </c>
      <c r="K258" s="14">
        <f t="shared" si="6"/>
        <v>192.3413158</v>
      </c>
      <c r="L258" s="4">
        <v>7308.97</v>
      </c>
      <c r="M258" s="15">
        <f t="shared" si="7"/>
        <v>3.600832594</v>
      </c>
    </row>
    <row r="259">
      <c r="A259" s="2">
        <v>45184.0</v>
      </c>
      <c r="B259" s="12">
        <f t="shared" si="1"/>
        <v>9</v>
      </c>
      <c r="C259" s="3">
        <v>54645.0</v>
      </c>
      <c r="D259" s="13">
        <f t="shared" si="2"/>
        <v>0.01008326471</v>
      </c>
      <c r="E259" s="3">
        <v>551.0</v>
      </c>
      <c r="F259" s="14">
        <f t="shared" si="3"/>
        <v>1.68277677</v>
      </c>
      <c r="G259" s="14">
        <f t="shared" si="4"/>
        <v>16.96788361</v>
      </c>
      <c r="H259" s="4">
        <v>927.21</v>
      </c>
      <c r="I259" s="13">
        <f t="shared" si="5"/>
        <v>0.01451905626</v>
      </c>
      <c r="J259" s="3">
        <v>8.0</v>
      </c>
      <c r="K259" s="14">
        <f t="shared" si="6"/>
        <v>141.89</v>
      </c>
      <c r="L259" s="4">
        <v>1135.12</v>
      </c>
      <c r="M259" s="15">
        <f t="shared" si="7"/>
        <v>1.224231835</v>
      </c>
    </row>
    <row r="260">
      <c r="A260" s="2">
        <v>45185.0</v>
      </c>
      <c r="B260" s="12">
        <f t="shared" si="1"/>
        <v>9</v>
      </c>
      <c r="C260" s="3">
        <v>53416.0</v>
      </c>
      <c r="D260" s="13">
        <f t="shared" si="2"/>
        <v>0.0262842594</v>
      </c>
      <c r="E260" s="5">
        <v>1404.0</v>
      </c>
      <c r="F260" s="14">
        <f t="shared" si="3"/>
        <v>1.751047009</v>
      </c>
      <c r="G260" s="14">
        <f t="shared" si="4"/>
        <v>46.02497379</v>
      </c>
      <c r="H260" s="4">
        <v>2458.47</v>
      </c>
      <c r="I260" s="13">
        <f t="shared" si="5"/>
        <v>0.01424501425</v>
      </c>
      <c r="J260" s="3">
        <v>20.0</v>
      </c>
      <c r="K260" s="14">
        <f t="shared" si="6"/>
        <v>167.3725</v>
      </c>
      <c r="L260" s="4">
        <v>3347.45</v>
      </c>
      <c r="M260" s="15">
        <f t="shared" si="7"/>
        <v>1.361598881</v>
      </c>
    </row>
    <row r="261">
      <c r="A261" s="2">
        <v>45186.0</v>
      </c>
      <c r="B261" s="12">
        <f t="shared" si="1"/>
        <v>9</v>
      </c>
      <c r="C261" s="3">
        <v>33824.0</v>
      </c>
      <c r="D261" s="13">
        <f t="shared" si="2"/>
        <v>0.01699976348</v>
      </c>
      <c r="E261" s="3">
        <v>575.0</v>
      </c>
      <c r="F261" s="14">
        <f t="shared" si="3"/>
        <v>1.760017391</v>
      </c>
      <c r="G261" s="14">
        <f t="shared" si="4"/>
        <v>29.91987938</v>
      </c>
      <c r="H261" s="4">
        <v>1012.01</v>
      </c>
      <c r="I261" s="13">
        <f t="shared" si="5"/>
        <v>0.01913043478</v>
      </c>
      <c r="J261" s="3">
        <v>11.0</v>
      </c>
      <c r="K261" s="14">
        <f t="shared" si="6"/>
        <v>126.0209091</v>
      </c>
      <c r="L261" s="4">
        <v>1386.23</v>
      </c>
      <c r="M261" s="15">
        <f t="shared" si="7"/>
        <v>1.369778955</v>
      </c>
    </row>
    <row r="262">
      <c r="A262" s="2">
        <v>45187.0</v>
      </c>
      <c r="B262" s="12">
        <f t="shared" si="1"/>
        <v>9</v>
      </c>
      <c r="C262" s="3">
        <v>12008.0</v>
      </c>
      <c r="D262" s="13">
        <f t="shared" si="2"/>
        <v>0.01449033977</v>
      </c>
      <c r="E262" s="3">
        <v>174.0</v>
      </c>
      <c r="F262" s="14">
        <f t="shared" si="3"/>
        <v>1.701091954</v>
      </c>
      <c r="G262" s="14">
        <f t="shared" si="4"/>
        <v>24.6494004</v>
      </c>
      <c r="H262" s="4">
        <v>295.99</v>
      </c>
      <c r="I262" s="13">
        <f t="shared" si="5"/>
        <v>0.01724137931</v>
      </c>
      <c r="J262" s="3">
        <v>3.0</v>
      </c>
      <c r="K262" s="14">
        <f t="shared" si="6"/>
        <v>195.2533333</v>
      </c>
      <c r="L262" s="4">
        <v>585.76</v>
      </c>
      <c r="M262" s="15">
        <f t="shared" si="7"/>
        <v>1.978985777</v>
      </c>
    </row>
    <row r="263">
      <c r="A263" s="2">
        <v>45188.0</v>
      </c>
      <c r="B263" s="12">
        <f t="shared" si="1"/>
        <v>9</v>
      </c>
      <c r="C263" s="3">
        <v>14356.0</v>
      </c>
      <c r="D263" s="13">
        <f t="shared" si="2"/>
        <v>0.01044859292</v>
      </c>
      <c r="E263" s="3">
        <v>150.0</v>
      </c>
      <c r="F263" s="14">
        <f t="shared" si="3"/>
        <v>1.778666667</v>
      </c>
      <c r="G263" s="14">
        <f t="shared" si="4"/>
        <v>18.58456395</v>
      </c>
      <c r="H263" s="4">
        <v>266.8</v>
      </c>
      <c r="I263" s="13">
        <f t="shared" si="5"/>
        <v>0.01333333333</v>
      </c>
      <c r="J263" s="3">
        <v>2.0</v>
      </c>
      <c r="K263" s="14">
        <f t="shared" si="6"/>
        <v>124.3</v>
      </c>
      <c r="L263" s="4">
        <v>248.6</v>
      </c>
      <c r="M263" s="15">
        <f t="shared" si="7"/>
        <v>0.9317841079</v>
      </c>
    </row>
    <row r="264">
      <c r="A264" s="2">
        <v>45189.0</v>
      </c>
      <c r="B264" s="12">
        <f t="shared" si="1"/>
        <v>9</v>
      </c>
      <c r="C264" s="3">
        <v>11629.0</v>
      </c>
      <c r="D264" s="13">
        <f t="shared" si="2"/>
        <v>0.01298477943</v>
      </c>
      <c r="E264" s="3">
        <v>151.0</v>
      </c>
      <c r="F264" s="14">
        <f t="shared" si="3"/>
        <v>1.932251656</v>
      </c>
      <c r="G264" s="14">
        <f t="shared" si="4"/>
        <v>25.08986155</v>
      </c>
      <c r="H264" s="4">
        <v>291.77</v>
      </c>
      <c r="I264" s="13">
        <f t="shared" si="5"/>
        <v>0.01986754967</v>
      </c>
      <c r="J264" s="3">
        <v>3.0</v>
      </c>
      <c r="K264" s="14">
        <f t="shared" si="6"/>
        <v>142.68</v>
      </c>
      <c r="L264" s="4">
        <v>428.04</v>
      </c>
      <c r="M264" s="15">
        <f t="shared" si="7"/>
        <v>1.467045961</v>
      </c>
    </row>
    <row r="265">
      <c r="A265" s="2">
        <v>45190.0</v>
      </c>
      <c r="B265" s="12">
        <f t="shared" si="1"/>
        <v>9</v>
      </c>
      <c r="C265" s="3">
        <v>91727.0</v>
      </c>
      <c r="D265" s="13">
        <f t="shared" si="2"/>
        <v>0.0152953874</v>
      </c>
      <c r="E265" s="5">
        <v>1403.0</v>
      </c>
      <c r="F265" s="14">
        <f t="shared" si="3"/>
        <v>1.330399145</v>
      </c>
      <c r="G265" s="14">
        <f t="shared" si="4"/>
        <v>20.34897031</v>
      </c>
      <c r="H265" s="4">
        <v>1866.55</v>
      </c>
      <c r="I265" s="13">
        <f t="shared" si="5"/>
        <v>0.01781895937</v>
      </c>
      <c r="J265" s="3">
        <v>25.0</v>
      </c>
      <c r="K265" s="14">
        <f t="shared" si="6"/>
        <v>168.7476</v>
      </c>
      <c r="L265" s="4">
        <v>4218.69</v>
      </c>
      <c r="M265" s="15">
        <f t="shared" si="7"/>
        <v>2.26015376</v>
      </c>
    </row>
    <row r="266">
      <c r="A266" s="2">
        <v>45191.0</v>
      </c>
      <c r="B266" s="12">
        <f t="shared" si="1"/>
        <v>9</v>
      </c>
      <c r="C266" s="3">
        <v>80004.0</v>
      </c>
      <c r="D266" s="13">
        <f t="shared" si="2"/>
        <v>0.01989900505</v>
      </c>
      <c r="E266" s="5">
        <v>1592.0</v>
      </c>
      <c r="F266" s="14">
        <f t="shared" si="3"/>
        <v>1.990094221</v>
      </c>
      <c r="G266" s="14">
        <f t="shared" si="4"/>
        <v>39.60089496</v>
      </c>
      <c r="H266" s="4">
        <v>3168.23</v>
      </c>
      <c r="I266" s="13">
        <f t="shared" si="5"/>
        <v>0.01947236181</v>
      </c>
      <c r="J266" s="3">
        <v>31.0</v>
      </c>
      <c r="K266" s="14">
        <f t="shared" si="6"/>
        <v>191.1729032</v>
      </c>
      <c r="L266" s="4">
        <v>5926.36</v>
      </c>
      <c r="M266" s="15">
        <f t="shared" si="7"/>
        <v>1.87055864</v>
      </c>
    </row>
    <row r="267">
      <c r="A267" s="2">
        <v>45192.0</v>
      </c>
      <c r="B267" s="12">
        <f t="shared" si="1"/>
        <v>9</v>
      </c>
      <c r="C267" s="3">
        <v>23005.0</v>
      </c>
      <c r="D267" s="13">
        <f t="shared" si="2"/>
        <v>0.02908063464</v>
      </c>
      <c r="E267" s="3">
        <v>669.0</v>
      </c>
      <c r="F267" s="14">
        <f t="shared" si="3"/>
        <v>1.601061286</v>
      </c>
      <c r="G267" s="14">
        <f t="shared" si="4"/>
        <v>46.55987829</v>
      </c>
      <c r="H267" s="4">
        <v>1071.11</v>
      </c>
      <c r="I267" s="13">
        <f t="shared" si="5"/>
        <v>0.01494768311</v>
      </c>
      <c r="J267" s="3">
        <v>10.0</v>
      </c>
      <c r="K267" s="14">
        <f t="shared" si="6"/>
        <v>206.403</v>
      </c>
      <c r="L267" s="4">
        <v>2064.03</v>
      </c>
      <c r="M267" s="15">
        <f t="shared" si="7"/>
        <v>1.927000962</v>
      </c>
    </row>
    <row r="268">
      <c r="A268" s="2">
        <v>45193.0</v>
      </c>
      <c r="B268" s="12">
        <f t="shared" si="1"/>
        <v>9</v>
      </c>
      <c r="C268" s="3">
        <v>55696.0</v>
      </c>
      <c r="D268" s="13">
        <f t="shared" si="2"/>
        <v>0.02899669635</v>
      </c>
      <c r="E268" s="5">
        <v>1615.0</v>
      </c>
      <c r="F268" s="14">
        <f t="shared" si="3"/>
        <v>1.210136223</v>
      </c>
      <c r="G268" s="14">
        <f t="shared" si="4"/>
        <v>35.0899526</v>
      </c>
      <c r="H268" s="4">
        <v>1954.37</v>
      </c>
      <c r="I268" s="13">
        <f t="shared" si="5"/>
        <v>0.02352941176</v>
      </c>
      <c r="J268" s="3">
        <v>38.0</v>
      </c>
      <c r="K268" s="14">
        <f t="shared" si="6"/>
        <v>110.1726316</v>
      </c>
      <c r="L268" s="4">
        <v>4186.56</v>
      </c>
      <c r="M268" s="15">
        <f t="shared" si="7"/>
        <v>2.142153226</v>
      </c>
    </row>
    <row r="269">
      <c r="A269" s="2">
        <v>45194.0</v>
      </c>
      <c r="B269" s="12">
        <f t="shared" si="1"/>
        <v>9</v>
      </c>
      <c r="C269" s="3">
        <v>67655.0</v>
      </c>
      <c r="D269" s="13">
        <f t="shared" si="2"/>
        <v>0.01288892174</v>
      </c>
      <c r="E269" s="3">
        <v>872.0</v>
      </c>
      <c r="F269" s="14">
        <f t="shared" si="3"/>
        <v>1.831571101</v>
      </c>
      <c r="G269" s="14">
        <f t="shared" si="4"/>
        <v>23.60697657</v>
      </c>
      <c r="H269" s="4">
        <v>1597.13</v>
      </c>
      <c r="I269" s="13">
        <f t="shared" si="5"/>
        <v>0.01490825688</v>
      </c>
      <c r="J269" s="3">
        <v>13.0</v>
      </c>
      <c r="K269" s="14">
        <f t="shared" si="6"/>
        <v>116.0692308</v>
      </c>
      <c r="L269" s="4">
        <v>1508.9</v>
      </c>
      <c r="M269" s="15">
        <f t="shared" si="7"/>
        <v>0.9447571582</v>
      </c>
    </row>
    <row r="270">
      <c r="A270" s="2">
        <v>45195.0</v>
      </c>
      <c r="B270" s="12">
        <f t="shared" si="1"/>
        <v>9</v>
      </c>
      <c r="C270" s="3">
        <v>72129.0</v>
      </c>
      <c r="D270" s="13">
        <f t="shared" si="2"/>
        <v>0.02239043935</v>
      </c>
      <c r="E270" s="5">
        <v>1615.0</v>
      </c>
      <c r="F270" s="14">
        <f t="shared" si="3"/>
        <v>1.480631579</v>
      </c>
      <c r="G270" s="14">
        <f t="shared" si="4"/>
        <v>33.15199157</v>
      </c>
      <c r="H270" s="4">
        <v>2391.22</v>
      </c>
      <c r="I270" s="13">
        <f t="shared" si="5"/>
        <v>0.02352941176</v>
      </c>
      <c r="J270" s="3">
        <v>38.0</v>
      </c>
      <c r="K270" s="14">
        <f t="shared" si="6"/>
        <v>179.5965789</v>
      </c>
      <c r="L270" s="4">
        <v>6824.67</v>
      </c>
      <c r="M270" s="15">
        <f t="shared" si="7"/>
        <v>2.854053579</v>
      </c>
    </row>
    <row r="271">
      <c r="A271" s="2">
        <v>45196.0</v>
      </c>
      <c r="B271" s="12">
        <f t="shared" si="1"/>
        <v>9</v>
      </c>
      <c r="C271" s="3">
        <v>40518.0</v>
      </c>
      <c r="D271" s="13">
        <f t="shared" si="2"/>
        <v>0.01628905672</v>
      </c>
      <c r="E271" s="3">
        <v>660.0</v>
      </c>
      <c r="F271" s="14">
        <f t="shared" si="3"/>
        <v>1.310878788</v>
      </c>
      <c r="G271" s="14">
        <f t="shared" si="4"/>
        <v>21.35297892</v>
      </c>
      <c r="H271" s="4">
        <v>865.18</v>
      </c>
      <c r="I271" s="13">
        <f t="shared" si="5"/>
        <v>0.02121212121</v>
      </c>
      <c r="J271" s="3">
        <v>14.0</v>
      </c>
      <c r="K271" s="14">
        <f t="shared" si="6"/>
        <v>188.0942857</v>
      </c>
      <c r="L271" s="4">
        <v>2633.32</v>
      </c>
      <c r="M271" s="15">
        <f t="shared" si="7"/>
        <v>3.043667214</v>
      </c>
    </row>
    <row r="272">
      <c r="A272" s="2">
        <v>45197.0</v>
      </c>
      <c r="B272" s="12">
        <f t="shared" si="1"/>
        <v>9</v>
      </c>
      <c r="C272" s="3">
        <v>14436.0</v>
      </c>
      <c r="D272" s="13">
        <f t="shared" si="2"/>
        <v>0.01607093378</v>
      </c>
      <c r="E272" s="3">
        <v>232.0</v>
      </c>
      <c r="F272" s="14">
        <f t="shared" si="3"/>
        <v>1.162068966</v>
      </c>
      <c r="G272" s="14">
        <f t="shared" si="4"/>
        <v>18.67553339</v>
      </c>
      <c r="H272" s="4">
        <v>269.6</v>
      </c>
      <c r="I272" s="13">
        <f t="shared" si="5"/>
        <v>0.02155172414</v>
      </c>
      <c r="J272" s="3">
        <v>5.0</v>
      </c>
      <c r="K272" s="14">
        <f t="shared" si="6"/>
        <v>126.668</v>
      </c>
      <c r="L272" s="4">
        <v>633.34</v>
      </c>
      <c r="M272" s="15">
        <f t="shared" si="7"/>
        <v>2.349183976</v>
      </c>
    </row>
    <row r="273">
      <c r="A273" s="2">
        <v>45198.0</v>
      </c>
      <c r="B273" s="12">
        <f t="shared" si="1"/>
        <v>9</v>
      </c>
      <c r="C273" s="3">
        <v>27249.0</v>
      </c>
      <c r="D273" s="13">
        <f t="shared" si="2"/>
        <v>0.02789093178</v>
      </c>
      <c r="E273" s="3">
        <v>760.0</v>
      </c>
      <c r="F273" s="14">
        <f t="shared" si="3"/>
        <v>1.390447368</v>
      </c>
      <c r="G273" s="14">
        <f t="shared" si="4"/>
        <v>38.78087269</v>
      </c>
      <c r="H273" s="4">
        <v>1056.74</v>
      </c>
      <c r="I273" s="13">
        <f t="shared" si="5"/>
        <v>0.01315789474</v>
      </c>
      <c r="J273" s="3">
        <v>10.0</v>
      </c>
      <c r="K273" s="14">
        <f t="shared" si="6"/>
        <v>126.11</v>
      </c>
      <c r="L273" s="4">
        <v>1261.1</v>
      </c>
      <c r="M273" s="15">
        <f t="shared" si="7"/>
        <v>1.19338721</v>
      </c>
    </row>
    <row r="274">
      <c r="A274" s="2">
        <v>45199.0</v>
      </c>
      <c r="B274" s="12">
        <f t="shared" si="1"/>
        <v>9</v>
      </c>
      <c r="C274" s="3">
        <v>40345.0</v>
      </c>
      <c r="D274" s="13">
        <f t="shared" si="2"/>
        <v>0.02649646796</v>
      </c>
      <c r="E274" s="5">
        <v>1069.0</v>
      </c>
      <c r="F274" s="14">
        <f t="shared" si="3"/>
        <v>1.500196445</v>
      </c>
      <c r="G274" s="14">
        <f t="shared" si="4"/>
        <v>39.74990705</v>
      </c>
      <c r="H274" s="4">
        <v>1603.71</v>
      </c>
      <c r="I274" s="13">
        <f t="shared" si="5"/>
        <v>0.01683816651</v>
      </c>
      <c r="J274" s="3">
        <v>18.0</v>
      </c>
      <c r="K274" s="14">
        <f t="shared" si="6"/>
        <v>111.7255556</v>
      </c>
      <c r="L274" s="4">
        <v>2011.06</v>
      </c>
      <c r="M274" s="15">
        <f t="shared" si="7"/>
        <v>1.254004776</v>
      </c>
    </row>
    <row r="275">
      <c r="A275" s="2">
        <v>45200.0</v>
      </c>
      <c r="B275" s="12">
        <f t="shared" si="1"/>
        <v>10</v>
      </c>
      <c r="C275" s="3">
        <v>62184.0</v>
      </c>
      <c r="D275" s="13">
        <f t="shared" si="2"/>
        <v>0.02589090441</v>
      </c>
      <c r="E275" s="5">
        <v>1610.0</v>
      </c>
      <c r="F275" s="14">
        <f t="shared" si="3"/>
        <v>1.590552795</v>
      </c>
      <c r="G275" s="14">
        <f t="shared" si="4"/>
        <v>41.18085038</v>
      </c>
      <c r="H275" s="4">
        <v>2560.79</v>
      </c>
      <c r="I275" s="13">
        <f t="shared" si="5"/>
        <v>0.02049689441</v>
      </c>
      <c r="J275" s="3">
        <v>33.0</v>
      </c>
      <c r="K275" s="14">
        <f t="shared" si="6"/>
        <v>169.3242424</v>
      </c>
      <c r="L275" s="4">
        <v>5587.7</v>
      </c>
      <c r="M275" s="15">
        <f t="shared" si="7"/>
        <v>2.182021954</v>
      </c>
    </row>
    <row r="276">
      <c r="A276" s="2">
        <v>45201.0</v>
      </c>
      <c r="B276" s="12">
        <f t="shared" si="1"/>
        <v>10</v>
      </c>
      <c r="C276" s="3">
        <v>78606.0</v>
      </c>
      <c r="D276" s="13">
        <f t="shared" si="2"/>
        <v>0.02868737755</v>
      </c>
      <c r="E276" s="5">
        <v>2255.0</v>
      </c>
      <c r="F276" s="14">
        <f t="shared" si="3"/>
        <v>1.520665188</v>
      </c>
      <c r="G276" s="14">
        <f t="shared" si="4"/>
        <v>43.62389639</v>
      </c>
      <c r="H276" s="4">
        <v>3429.1</v>
      </c>
      <c r="I276" s="13">
        <f t="shared" si="5"/>
        <v>0.02172949002</v>
      </c>
      <c r="J276" s="3">
        <v>49.0</v>
      </c>
      <c r="K276" s="14">
        <f t="shared" si="6"/>
        <v>104.802449</v>
      </c>
      <c r="L276" s="4">
        <v>5135.32</v>
      </c>
      <c r="M276" s="15">
        <f t="shared" si="7"/>
        <v>1.497570791</v>
      </c>
    </row>
    <row r="277">
      <c r="A277" s="2">
        <v>45202.0</v>
      </c>
      <c r="B277" s="12">
        <f t="shared" si="1"/>
        <v>10</v>
      </c>
      <c r="C277" s="3">
        <v>91632.0</v>
      </c>
      <c r="D277" s="13">
        <f t="shared" si="2"/>
        <v>0.0200912345</v>
      </c>
      <c r="E277" s="5">
        <v>1841.0</v>
      </c>
      <c r="F277" s="14">
        <f t="shared" si="3"/>
        <v>1.020439978</v>
      </c>
      <c r="G277" s="14">
        <f t="shared" si="4"/>
        <v>20.5018989</v>
      </c>
      <c r="H277" s="4">
        <v>1878.63</v>
      </c>
      <c r="I277" s="13">
        <f t="shared" si="5"/>
        <v>0.02118413905</v>
      </c>
      <c r="J277" s="3">
        <v>39.0</v>
      </c>
      <c r="K277" s="14">
        <f t="shared" si="6"/>
        <v>176.6715385</v>
      </c>
      <c r="L277" s="4">
        <v>6890.19</v>
      </c>
      <c r="M277" s="15">
        <f t="shared" si="7"/>
        <v>3.667667396</v>
      </c>
    </row>
    <row r="278">
      <c r="A278" s="2">
        <v>45203.0</v>
      </c>
      <c r="B278" s="12">
        <f t="shared" si="1"/>
        <v>10</v>
      </c>
      <c r="C278" s="3">
        <v>87605.0</v>
      </c>
      <c r="D278" s="13">
        <f t="shared" si="2"/>
        <v>0.01838936134</v>
      </c>
      <c r="E278" s="5">
        <v>1611.0</v>
      </c>
      <c r="F278" s="14">
        <f t="shared" si="3"/>
        <v>1.440831782</v>
      </c>
      <c r="G278" s="14">
        <f t="shared" si="4"/>
        <v>26.49597626</v>
      </c>
      <c r="H278" s="4">
        <v>2321.18</v>
      </c>
      <c r="I278" s="13">
        <f t="shared" si="5"/>
        <v>0.02296710118</v>
      </c>
      <c r="J278" s="3">
        <v>37.0</v>
      </c>
      <c r="K278" s="14">
        <f t="shared" si="6"/>
        <v>198.7905405</v>
      </c>
      <c r="L278" s="4">
        <v>7355.25</v>
      </c>
      <c r="M278" s="15">
        <f t="shared" si="7"/>
        <v>3.168754685</v>
      </c>
    </row>
    <row r="279">
      <c r="A279" s="2">
        <v>45204.0</v>
      </c>
      <c r="B279" s="12">
        <f t="shared" si="1"/>
        <v>10</v>
      </c>
      <c r="C279" s="3">
        <v>49315.0</v>
      </c>
      <c r="D279" s="13">
        <f t="shared" si="2"/>
        <v>0.0156950218</v>
      </c>
      <c r="E279" s="3">
        <v>774.0</v>
      </c>
      <c r="F279" s="14">
        <f t="shared" si="3"/>
        <v>1.540478036</v>
      </c>
      <c r="G279" s="14">
        <f t="shared" si="4"/>
        <v>24.17783636</v>
      </c>
      <c r="H279" s="4">
        <v>1192.33</v>
      </c>
      <c r="I279" s="13">
        <f t="shared" si="5"/>
        <v>0.02067183463</v>
      </c>
      <c r="J279" s="3">
        <v>16.0</v>
      </c>
      <c r="K279" s="14">
        <f t="shared" si="6"/>
        <v>134.510625</v>
      </c>
      <c r="L279" s="4">
        <v>2152.17</v>
      </c>
      <c r="M279" s="15">
        <f t="shared" si="7"/>
        <v>1.805012035</v>
      </c>
    </row>
    <row r="280">
      <c r="A280" s="2">
        <v>45205.0</v>
      </c>
      <c r="B280" s="12">
        <f t="shared" si="1"/>
        <v>10</v>
      </c>
      <c r="C280" s="3">
        <v>53875.0</v>
      </c>
      <c r="D280" s="13">
        <f t="shared" si="2"/>
        <v>0.024</v>
      </c>
      <c r="E280" s="5">
        <v>1293.0</v>
      </c>
      <c r="F280" s="14">
        <f t="shared" si="3"/>
        <v>1.9</v>
      </c>
      <c r="G280" s="14">
        <f t="shared" si="4"/>
        <v>45.6</v>
      </c>
      <c r="H280" s="4">
        <v>2456.7</v>
      </c>
      <c r="I280" s="13">
        <f t="shared" si="5"/>
        <v>0.01701469451</v>
      </c>
      <c r="J280" s="3">
        <v>22.0</v>
      </c>
      <c r="K280" s="14">
        <f t="shared" si="6"/>
        <v>191.3054545</v>
      </c>
      <c r="L280" s="4">
        <v>4208.72</v>
      </c>
      <c r="M280" s="15">
        <f t="shared" si="7"/>
        <v>1.71315993</v>
      </c>
    </row>
    <row r="281">
      <c r="A281" s="2">
        <v>45206.0</v>
      </c>
      <c r="B281" s="12">
        <f t="shared" si="1"/>
        <v>10</v>
      </c>
      <c r="C281" s="3">
        <v>18309.0</v>
      </c>
      <c r="D281" s="13">
        <f t="shared" si="2"/>
        <v>0.02157408925</v>
      </c>
      <c r="E281" s="3">
        <v>395.0</v>
      </c>
      <c r="F281" s="14">
        <f t="shared" si="3"/>
        <v>1.161392405</v>
      </c>
      <c r="G281" s="14">
        <f t="shared" si="4"/>
        <v>25.0559834</v>
      </c>
      <c r="H281" s="4">
        <v>458.75</v>
      </c>
      <c r="I281" s="13">
        <f t="shared" si="5"/>
        <v>0.01265822785</v>
      </c>
      <c r="J281" s="3">
        <v>5.0</v>
      </c>
      <c r="K281" s="14">
        <f t="shared" si="6"/>
        <v>192.51</v>
      </c>
      <c r="L281" s="4">
        <v>962.55</v>
      </c>
      <c r="M281" s="15">
        <f t="shared" si="7"/>
        <v>2.098201635</v>
      </c>
    </row>
    <row r="282">
      <c r="A282" s="2">
        <v>45207.0</v>
      </c>
      <c r="B282" s="12">
        <f t="shared" si="1"/>
        <v>10</v>
      </c>
      <c r="C282" s="3">
        <v>83535.0</v>
      </c>
      <c r="D282" s="13">
        <f t="shared" si="2"/>
        <v>0.02279284132</v>
      </c>
      <c r="E282" s="5">
        <v>1904.0</v>
      </c>
      <c r="F282" s="14">
        <f t="shared" si="3"/>
        <v>1.850577731</v>
      </c>
      <c r="G282" s="14">
        <f t="shared" si="4"/>
        <v>42.17992458</v>
      </c>
      <c r="H282" s="4">
        <v>3523.5</v>
      </c>
      <c r="I282" s="13">
        <f t="shared" si="5"/>
        <v>0.02100840336</v>
      </c>
      <c r="J282" s="3">
        <v>40.0</v>
      </c>
      <c r="K282" s="14">
        <f t="shared" si="6"/>
        <v>130.42675</v>
      </c>
      <c r="L282" s="4">
        <v>5217.07</v>
      </c>
      <c r="M282" s="15">
        <f t="shared" si="7"/>
        <v>1.480649922</v>
      </c>
    </row>
    <row r="283">
      <c r="A283" s="2">
        <v>45208.0</v>
      </c>
      <c r="B283" s="12">
        <f t="shared" si="1"/>
        <v>10</v>
      </c>
      <c r="C283" s="3">
        <v>66799.0</v>
      </c>
      <c r="D283" s="13">
        <f t="shared" si="2"/>
        <v>0.01739546999</v>
      </c>
      <c r="E283" s="5">
        <v>1162.0</v>
      </c>
      <c r="F283" s="14">
        <f t="shared" si="3"/>
        <v>1.260327022</v>
      </c>
      <c r="G283" s="14">
        <f t="shared" si="4"/>
        <v>21.9239809</v>
      </c>
      <c r="H283" s="4">
        <v>1464.5</v>
      </c>
      <c r="I283" s="13">
        <f t="shared" si="5"/>
        <v>0.01204819277</v>
      </c>
      <c r="J283" s="3">
        <v>14.0</v>
      </c>
      <c r="K283" s="14">
        <f t="shared" si="6"/>
        <v>175.3828571</v>
      </c>
      <c r="L283" s="4">
        <v>2455.36</v>
      </c>
      <c r="M283" s="15">
        <f t="shared" si="7"/>
        <v>1.676585865</v>
      </c>
    </row>
    <row r="284">
      <c r="A284" s="2">
        <v>45209.0</v>
      </c>
      <c r="B284" s="12">
        <f t="shared" si="1"/>
        <v>10</v>
      </c>
      <c r="C284" s="3">
        <v>87053.0</v>
      </c>
      <c r="D284" s="13">
        <f t="shared" si="2"/>
        <v>0.01709303528</v>
      </c>
      <c r="E284" s="5">
        <v>1488.0</v>
      </c>
      <c r="F284" s="14">
        <f t="shared" si="3"/>
        <v>1.190483871</v>
      </c>
      <c r="G284" s="14">
        <f t="shared" si="4"/>
        <v>20.3489828</v>
      </c>
      <c r="H284" s="4">
        <v>1771.44</v>
      </c>
      <c r="I284" s="13">
        <f t="shared" si="5"/>
        <v>0.02419354839</v>
      </c>
      <c r="J284" s="3">
        <v>36.0</v>
      </c>
      <c r="K284" s="14">
        <f t="shared" si="6"/>
        <v>128.6611111</v>
      </c>
      <c r="L284" s="4">
        <v>4631.8</v>
      </c>
      <c r="M284" s="15">
        <f t="shared" si="7"/>
        <v>2.614708937</v>
      </c>
    </row>
    <row r="285">
      <c r="A285" s="2">
        <v>45210.0</v>
      </c>
      <c r="B285" s="12">
        <f t="shared" si="1"/>
        <v>10</v>
      </c>
      <c r="C285" s="3">
        <v>65507.0</v>
      </c>
      <c r="D285" s="13">
        <f t="shared" si="2"/>
        <v>0.01639519441</v>
      </c>
      <c r="E285" s="5">
        <v>1074.0</v>
      </c>
      <c r="F285" s="14">
        <f t="shared" si="3"/>
        <v>1.340391061</v>
      </c>
      <c r="G285" s="14">
        <f t="shared" si="4"/>
        <v>21.97597203</v>
      </c>
      <c r="H285" s="4">
        <v>1439.58</v>
      </c>
      <c r="I285" s="13">
        <f t="shared" si="5"/>
        <v>0.01675977654</v>
      </c>
      <c r="J285" s="3">
        <v>18.0</v>
      </c>
      <c r="K285" s="14">
        <f t="shared" si="6"/>
        <v>139.8222222</v>
      </c>
      <c r="L285" s="4">
        <v>2516.8</v>
      </c>
      <c r="M285" s="15">
        <f t="shared" si="7"/>
        <v>1.748287695</v>
      </c>
    </row>
    <row r="286">
      <c r="A286" s="2">
        <v>45211.0</v>
      </c>
      <c r="B286" s="12">
        <f t="shared" si="1"/>
        <v>10</v>
      </c>
      <c r="C286" s="3">
        <v>18907.0</v>
      </c>
      <c r="D286" s="13">
        <f t="shared" si="2"/>
        <v>0.01449198709</v>
      </c>
      <c r="E286" s="3">
        <v>274.0</v>
      </c>
      <c r="F286" s="14">
        <f t="shared" si="3"/>
        <v>1.030547445</v>
      </c>
      <c r="G286" s="14">
        <f t="shared" si="4"/>
        <v>14.93468028</v>
      </c>
      <c r="H286" s="4">
        <v>282.37</v>
      </c>
      <c r="I286" s="13">
        <f t="shared" si="5"/>
        <v>0.01094890511</v>
      </c>
      <c r="J286" s="3">
        <v>3.0</v>
      </c>
      <c r="K286" s="14">
        <f t="shared" si="6"/>
        <v>165.6333333</v>
      </c>
      <c r="L286" s="4">
        <v>496.9</v>
      </c>
      <c r="M286" s="15">
        <f t="shared" si="7"/>
        <v>1.759747849</v>
      </c>
    </row>
    <row r="287">
      <c r="A287" s="2">
        <v>45212.0</v>
      </c>
      <c r="B287" s="12">
        <f t="shared" si="1"/>
        <v>10</v>
      </c>
      <c r="C287" s="3">
        <v>88312.0</v>
      </c>
      <c r="D287" s="13">
        <f t="shared" si="2"/>
        <v>0.02839931153</v>
      </c>
      <c r="E287" s="5">
        <v>2508.0</v>
      </c>
      <c r="F287" s="14">
        <f t="shared" si="3"/>
        <v>1.080023923</v>
      </c>
      <c r="G287" s="14">
        <f t="shared" si="4"/>
        <v>30.67193586</v>
      </c>
      <c r="H287" s="4">
        <v>2708.7</v>
      </c>
      <c r="I287" s="13">
        <f t="shared" si="5"/>
        <v>0.01953748006</v>
      </c>
      <c r="J287" s="3">
        <v>49.0</v>
      </c>
      <c r="K287" s="14">
        <f t="shared" si="6"/>
        <v>125.2853061</v>
      </c>
      <c r="L287" s="4">
        <v>6138.98</v>
      </c>
      <c r="M287" s="15">
        <f t="shared" si="7"/>
        <v>2.266393473</v>
      </c>
    </row>
    <row r="288">
      <c r="A288" s="2">
        <v>45213.0</v>
      </c>
      <c r="B288" s="12">
        <f t="shared" si="1"/>
        <v>10</v>
      </c>
      <c r="C288" s="3">
        <v>33076.0</v>
      </c>
      <c r="D288" s="13">
        <f t="shared" si="2"/>
        <v>0.02639375983</v>
      </c>
      <c r="E288" s="3">
        <v>873.0</v>
      </c>
      <c r="F288" s="14">
        <f t="shared" si="3"/>
        <v>1.530355097</v>
      </c>
      <c r="G288" s="14">
        <f t="shared" si="4"/>
        <v>40.39182489</v>
      </c>
      <c r="H288" s="4">
        <v>1336.0</v>
      </c>
      <c r="I288" s="13">
        <f t="shared" si="5"/>
        <v>0.01832760596</v>
      </c>
      <c r="J288" s="3">
        <v>16.0</v>
      </c>
      <c r="K288" s="14">
        <f t="shared" si="6"/>
        <v>146.960625</v>
      </c>
      <c r="L288" s="4">
        <v>2351.37</v>
      </c>
      <c r="M288" s="15">
        <f t="shared" si="7"/>
        <v>1.760007485</v>
      </c>
    </row>
    <row r="289">
      <c r="A289" s="2">
        <v>45214.0</v>
      </c>
      <c r="B289" s="12">
        <f t="shared" si="1"/>
        <v>10</v>
      </c>
      <c r="C289" s="3">
        <v>55614.0</v>
      </c>
      <c r="D289" s="13">
        <f t="shared" si="2"/>
        <v>0.02039054914</v>
      </c>
      <c r="E289" s="5">
        <v>1134.0</v>
      </c>
      <c r="F289" s="14">
        <f t="shared" si="3"/>
        <v>1.570723104</v>
      </c>
      <c r="G289" s="14">
        <f t="shared" si="4"/>
        <v>32.02790664</v>
      </c>
      <c r="H289" s="4">
        <v>1781.2</v>
      </c>
      <c r="I289" s="13">
        <f t="shared" si="5"/>
        <v>0.02116402116</v>
      </c>
      <c r="J289" s="3">
        <v>24.0</v>
      </c>
      <c r="K289" s="14">
        <f t="shared" si="6"/>
        <v>171.975</v>
      </c>
      <c r="L289" s="4">
        <v>4127.4</v>
      </c>
      <c r="M289" s="15">
        <f t="shared" si="7"/>
        <v>2.317201886</v>
      </c>
    </row>
    <row r="290">
      <c r="A290" s="2">
        <v>45215.0</v>
      </c>
      <c r="B290" s="12">
        <f t="shared" si="1"/>
        <v>10</v>
      </c>
      <c r="C290" s="3">
        <v>54210.0</v>
      </c>
      <c r="D290" s="13">
        <f t="shared" si="2"/>
        <v>0.01588267847</v>
      </c>
      <c r="E290" s="3">
        <v>861.0</v>
      </c>
      <c r="F290" s="14">
        <f t="shared" si="3"/>
        <v>1.101196283</v>
      </c>
      <c r="G290" s="14">
        <f t="shared" si="4"/>
        <v>17.4899465</v>
      </c>
      <c r="H290" s="4">
        <v>948.13</v>
      </c>
      <c r="I290" s="13">
        <f t="shared" si="5"/>
        <v>0.01742160279</v>
      </c>
      <c r="J290" s="3">
        <v>15.0</v>
      </c>
      <c r="K290" s="14">
        <f t="shared" si="6"/>
        <v>165.3713333</v>
      </c>
      <c r="L290" s="4">
        <v>2480.57</v>
      </c>
      <c r="M290" s="15">
        <f t="shared" si="7"/>
        <v>2.616276249</v>
      </c>
    </row>
    <row r="291">
      <c r="A291" s="2">
        <v>45216.0</v>
      </c>
      <c r="B291" s="12">
        <f t="shared" si="1"/>
        <v>10</v>
      </c>
      <c r="C291" s="3">
        <v>42018.0</v>
      </c>
      <c r="D291" s="13">
        <f t="shared" si="2"/>
        <v>0.017183112</v>
      </c>
      <c r="E291" s="3">
        <v>722.0</v>
      </c>
      <c r="F291" s="14">
        <f t="shared" si="3"/>
        <v>1.811772853</v>
      </c>
      <c r="G291" s="14">
        <f t="shared" si="4"/>
        <v>31.13189585</v>
      </c>
      <c r="H291" s="4">
        <v>1308.1</v>
      </c>
      <c r="I291" s="13">
        <f t="shared" si="5"/>
        <v>0.01523545706</v>
      </c>
      <c r="J291" s="3">
        <v>11.0</v>
      </c>
      <c r="K291" s="14">
        <f t="shared" si="6"/>
        <v>112.8218182</v>
      </c>
      <c r="L291" s="4">
        <v>1241.04</v>
      </c>
      <c r="M291" s="15">
        <f t="shared" si="7"/>
        <v>0.9487348062</v>
      </c>
    </row>
    <row r="292">
      <c r="A292" s="2">
        <v>45217.0</v>
      </c>
      <c r="B292" s="12">
        <f t="shared" si="1"/>
        <v>10</v>
      </c>
      <c r="C292" s="3">
        <v>23750.0</v>
      </c>
      <c r="D292" s="13">
        <f t="shared" si="2"/>
        <v>0.01326315789</v>
      </c>
      <c r="E292" s="3">
        <v>315.0</v>
      </c>
      <c r="F292" s="14">
        <f t="shared" si="3"/>
        <v>1.403873016</v>
      </c>
      <c r="G292" s="14">
        <f t="shared" si="4"/>
        <v>18.61978947</v>
      </c>
      <c r="H292" s="4">
        <v>442.22</v>
      </c>
      <c r="I292" s="13">
        <f t="shared" si="5"/>
        <v>0.02222222222</v>
      </c>
      <c r="J292" s="3">
        <v>7.0</v>
      </c>
      <c r="K292" s="14">
        <f t="shared" si="6"/>
        <v>141.94</v>
      </c>
      <c r="L292" s="4">
        <v>993.58</v>
      </c>
      <c r="M292" s="15">
        <f t="shared" si="7"/>
        <v>2.246800235</v>
      </c>
    </row>
    <row r="293">
      <c r="A293" s="2">
        <v>45218.0</v>
      </c>
      <c r="B293" s="12">
        <f t="shared" si="1"/>
        <v>10</v>
      </c>
      <c r="C293" s="3">
        <v>16272.0</v>
      </c>
      <c r="D293" s="13">
        <f t="shared" si="2"/>
        <v>0.01444198623</v>
      </c>
      <c r="E293" s="3">
        <v>235.0</v>
      </c>
      <c r="F293" s="14">
        <f t="shared" si="3"/>
        <v>1.455787234</v>
      </c>
      <c r="G293" s="14">
        <f t="shared" si="4"/>
        <v>21.02445919</v>
      </c>
      <c r="H293" s="4">
        <v>342.11</v>
      </c>
      <c r="I293" s="13">
        <f t="shared" si="5"/>
        <v>0.01276595745</v>
      </c>
      <c r="J293" s="3">
        <v>3.0</v>
      </c>
      <c r="K293" s="14">
        <f t="shared" si="6"/>
        <v>201.2933333</v>
      </c>
      <c r="L293" s="4">
        <v>603.88</v>
      </c>
      <c r="M293" s="15">
        <f t="shared" si="7"/>
        <v>1.765163252</v>
      </c>
    </row>
    <row r="294">
      <c r="A294" s="2">
        <v>45219.0</v>
      </c>
      <c r="B294" s="12">
        <f t="shared" si="1"/>
        <v>10</v>
      </c>
      <c r="C294" s="3">
        <v>83037.0</v>
      </c>
      <c r="D294" s="13">
        <f t="shared" si="2"/>
        <v>0.02199019714</v>
      </c>
      <c r="E294" s="5">
        <v>1826.0</v>
      </c>
      <c r="F294" s="14">
        <f t="shared" si="3"/>
        <v>1.110492881</v>
      </c>
      <c r="G294" s="14">
        <f t="shared" si="4"/>
        <v>24.41995737</v>
      </c>
      <c r="H294" s="4">
        <v>2027.76</v>
      </c>
      <c r="I294" s="13">
        <f t="shared" si="5"/>
        <v>0.01971522453</v>
      </c>
      <c r="J294" s="3">
        <v>36.0</v>
      </c>
      <c r="K294" s="14">
        <f t="shared" si="6"/>
        <v>143.1005556</v>
      </c>
      <c r="L294" s="4">
        <v>5151.62</v>
      </c>
      <c r="M294" s="15">
        <f t="shared" si="7"/>
        <v>2.540547205</v>
      </c>
    </row>
    <row r="295">
      <c r="A295" s="2">
        <v>45220.0</v>
      </c>
      <c r="B295" s="12">
        <f t="shared" si="1"/>
        <v>10</v>
      </c>
      <c r="C295" s="3">
        <v>85760.0</v>
      </c>
      <c r="D295" s="13">
        <f t="shared" si="2"/>
        <v>0.0231926306</v>
      </c>
      <c r="E295" s="5">
        <v>1989.0</v>
      </c>
      <c r="F295" s="14">
        <f t="shared" si="3"/>
        <v>1.440457516</v>
      </c>
      <c r="G295" s="14">
        <f t="shared" si="4"/>
        <v>33.40799907</v>
      </c>
      <c r="H295" s="4">
        <v>2865.07</v>
      </c>
      <c r="I295" s="13">
        <f t="shared" si="5"/>
        <v>0.01860231272</v>
      </c>
      <c r="J295" s="3">
        <v>37.0</v>
      </c>
      <c r="K295" s="14">
        <f t="shared" si="6"/>
        <v>101.5627027</v>
      </c>
      <c r="L295" s="4">
        <v>3757.82</v>
      </c>
      <c r="M295" s="15">
        <f t="shared" si="7"/>
        <v>1.311597971</v>
      </c>
    </row>
    <row r="296">
      <c r="A296" s="2">
        <v>45221.0</v>
      </c>
      <c r="B296" s="12">
        <f t="shared" si="1"/>
        <v>10</v>
      </c>
      <c r="C296" s="3">
        <v>59118.0</v>
      </c>
      <c r="D296" s="13">
        <f t="shared" si="2"/>
        <v>0.01559592679</v>
      </c>
      <c r="E296" s="3">
        <v>922.0</v>
      </c>
      <c r="F296" s="14">
        <f t="shared" si="3"/>
        <v>1.360347072</v>
      </c>
      <c r="G296" s="14">
        <f t="shared" si="4"/>
        <v>21.21587334</v>
      </c>
      <c r="H296" s="4">
        <v>1254.24</v>
      </c>
      <c r="I296" s="13">
        <f t="shared" si="5"/>
        <v>0.01518438178</v>
      </c>
      <c r="J296" s="3">
        <v>14.0</v>
      </c>
      <c r="K296" s="14">
        <f t="shared" si="6"/>
        <v>114.7992857</v>
      </c>
      <c r="L296" s="4">
        <v>1607.19</v>
      </c>
      <c r="M296" s="15">
        <f t="shared" si="7"/>
        <v>1.281405473</v>
      </c>
    </row>
    <row r="297">
      <c r="A297" s="2">
        <v>45222.0</v>
      </c>
      <c r="B297" s="12">
        <f t="shared" si="1"/>
        <v>10</v>
      </c>
      <c r="C297" s="3">
        <v>59548.0</v>
      </c>
      <c r="D297" s="13">
        <f t="shared" si="2"/>
        <v>0.0145932693</v>
      </c>
      <c r="E297" s="3">
        <v>869.0</v>
      </c>
      <c r="F297" s="14">
        <f t="shared" si="3"/>
        <v>1.000460299</v>
      </c>
      <c r="G297" s="14">
        <f t="shared" si="4"/>
        <v>14.59998657</v>
      </c>
      <c r="H297" s="4">
        <v>869.4</v>
      </c>
      <c r="I297" s="13">
        <f t="shared" si="5"/>
        <v>0.02071346375</v>
      </c>
      <c r="J297" s="3">
        <v>18.0</v>
      </c>
      <c r="K297" s="14">
        <f t="shared" si="6"/>
        <v>185.7427778</v>
      </c>
      <c r="L297" s="4">
        <v>3343.37</v>
      </c>
      <c r="M297" s="15">
        <f t="shared" si="7"/>
        <v>3.845606165</v>
      </c>
    </row>
    <row r="298">
      <c r="A298" s="2">
        <v>45223.0</v>
      </c>
      <c r="B298" s="12">
        <f t="shared" si="1"/>
        <v>10</v>
      </c>
      <c r="C298" s="3">
        <v>18054.0</v>
      </c>
      <c r="D298" s="13">
        <f t="shared" si="2"/>
        <v>0.02935637532</v>
      </c>
      <c r="E298" s="3">
        <v>530.0</v>
      </c>
      <c r="F298" s="14">
        <f t="shared" si="3"/>
        <v>1.161716981</v>
      </c>
      <c r="G298" s="14">
        <f t="shared" si="4"/>
        <v>34.10379971</v>
      </c>
      <c r="H298" s="4">
        <v>615.71</v>
      </c>
      <c r="I298" s="13">
        <f t="shared" si="5"/>
        <v>0.02075471698</v>
      </c>
      <c r="J298" s="3">
        <v>11.0</v>
      </c>
      <c r="K298" s="14">
        <f t="shared" si="6"/>
        <v>136.5381818</v>
      </c>
      <c r="L298" s="4">
        <v>1501.92</v>
      </c>
      <c r="M298" s="15">
        <f t="shared" si="7"/>
        <v>2.439330204</v>
      </c>
    </row>
    <row r="299">
      <c r="A299" s="2">
        <v>45224.0</v>
      </c>
      <c r="B299" s="12">
        <f t="shared" si="1"/>
        <v>10</v>
      </c>
      <c r="C299" s="3">
        <v>80909.0</v>
      </c>
      <c r="D299" s="13">
        <f t="shared" si="2"/>
        <v>0.01499215168</v>
      </c>
      <c r="E299" s="5">
        <v>1213.0</v>
      </c>
      <c r="F299" s="14">
        <f t="shared" si="3"/>
        <v>1.480766694</v>
      </c>
      <c r="G299" s="14">
        <f t="shared" si="4"/>
        <v>22.19987888</v>
      </c>
      <c r="H299" s="4">
        <v>1796.17</v>
      </c>
      <c r="I299" s="13">
        <f t="shared" si="5"/>
        <v>0.02225886232</v>
      </c>
      <c r="J299" s="3">
        <v>27.0</v>
      </c>
      <c r="K299" s="14">
        <f t="shared" si="6"/>
        <v>113.2681481</v>
      </c>
      <c r="L299" s="4">
        <v>3058.24</v>
      </c>
      <c r="M299" s="15">
        <f t="shared" si="7"/>
        <v>1.702645073</v>
      </c>
    </row>
    <row r="300">
      <c r="A300" s="2">
        <v>45225.0</v>
      </c>
      <c r="B300" s="12">
        <f t="shared" si="1"/>
        <v>10</v>
      </c>
      <c r="C300" s="3">
        <v>18941.0</v>
      </c>
      <c r="D300" s="13">
        <f t="shared" si="2"/>
        <v>0.02454991817</v>
      </c>
      <c r="E300" s="3">
        <v>465.0</v>
      </c>
      <c r="F300" s="14">
        <f t="shared" si="3"/>
        <v>1.002021505</v>
      </c>
      <c r="G300" s="14">
        <f t="shared" si="4"/>
        <v>24.59954596</v>
      </c>
      <c r="H300" s="4">
        <v>465.94</v>
      </c>
      <c r="I300" s="13">
        <f t="shared" si="5"/>
        <v>0.01720430108</v>
      </c>
      <c r="J300" s="3">
        <v>8.0</v>
      </c>
      <c r="K300" s="14">
        <f t="shared" si="6"/>
        <v>179.71</v>
      </c>
      <c r="L300" s="4">
        <v>1437.68</v>
      </c>
      <c r="M300" s="15">
        <f t="shared" si="7"/>
        <v>3.085547495</v>
      </c>
    </row>
    <row r="301">
      <c r="A301" s="2">
        <v>45226.0</v>
      </c>
      <c r="B301" s="12">
        <f t="shared" si="1"/>
        <v>10</v>
      </c>
      <c r="C301" s="3">
        <v>50637.0</v>
      </c>
      <c r="D301" s="13">
        <f t="shared" si="2"/>
        <v>0.01769457116</v>
      </c>
      <c r="E301" s="3">
        <v>896.0</v>
      </c>
      <c r="F301" s="14">
        <f t="shared" si="3"/>
        <v>1.0203125</v>
      </c>
      <c r="G301" s="14">
        <f t="shared" si="4"/>
        <v>18.05399214</v>
      </c>
      <c r="H301" s="4">
        <v>914.2</v>
      </c>
      <c r="I301" s="13">
        <f t="shared" si="5"/>
        <v>0.01674107143</v>
      </c>
      <c r="J301" s="3">
        <v>15.0</v>
      </c>
      <c r="K301" s="14">
        <f t="shared" si="6"/>
        <v>177.7973333</v>
      </c>
      <c r="L301" s="4">
        <v>2666.96</v>
      </c>
      <c r="M301" s="15">
        <f t="shared" si="7"/>
        <v>2.917260993</v>
      </c>
    </row>
    <row r="302">
      <c r="A302" s="2">
        <v>45227.0</v>
      </c>
      <c r="B302" s="12">
        <f t="shared" si="1"/>
        <v>10</v>
      </c>
      <c r="C302" s="3">
        <v>55842.0</v>
      </c>
      <c r="D302" s="13">
        <f t="shared" si="2"/>
        <v>0.01769277605</v>
      </c>
      <c r="E302" s="3">
        <v>988.0</v>
      </c>
      <c r="F302" s="14">
        <f t="shared" si="3"/>
        <v>1.19048583</v>
      </c>
      <c r="G302" s="14">
        <f t="shared" si="4"/>
        <v>21.06299918</v>
      </c>
      <c r="H302" s="4">
        <v>1176.2</v>
      </c>
      <c r="I302" s="13">
        <f t="shared" si="5"/>
        <v>0.02125506073</v>
      </c>
      <c r="J302" s="3">
        <v>21.0</v>
      </c>
      <c r="K302" s="14">
        <f t="shared" si="6"/>
        <v>146.7261905</v>
      </c>
      <c r="L302" s="4">
        <v>3081.25</v>
      </c>
      <c r="M302" s="15">
        <f t="shared" si="7"/>
        <v>2.619665023</v>
      </c>
    </row>
    <row r="303">
      <c r="A303" s="2">
        <v>45228.0</v>
      </c>
      <c r="B303" s="12">
        <f t="shared" si="1"/>
        <v>10</v>
      </c>
      <c r="C303" s="3">
        <v>98340.0</v>
      </c>
      <c r="D303" s="13">
        <f t="shared" si="2"/>
        <v>0.01899532235</v>
      </c>
      <c r="E303" s="5">
        <v>1868.0</v>
      </c>
      <c r="F303" s="14">
        <f t="shared" si="3"/>
        <v>1.660406852</v>
      </c>
      <c r="G303" s="14">
        <f t="shared" si="4"/>
        <v>31.53996339</v>
      </c>
      <c r="H303" s="4">
        <v>3101.64</v>
      </c>
      <c r="I303" s="13">
        <f t="shared" si="5"/>
        <v>0.01659528908</v>
      </c>
      <c r="J303" s="3">
        <v>31.0</v>
      </c>
      <c r="K303" s="14">
        <f t="shared" si="6"/>
        <v>136.0722581</v>
      </c>
      <c r="L303" s="4">
        <v>4218.24</v>
      </c>
      <c r="M303" s="15">
        <f t="shared" si="7"/>
        <v>1.360003095</v>
      </c>
    </row>
    <row r="304">
      <c r="A304" s="2">
        <v>45229.0</v>
      </c>
      <c r="B304" s="12">
        <f t="shared" si="1"/>
        <v>10</v>
      </c>
      <c r="C304" s="3">
        <v>64827.0</v>
      </c>
      <c r="D304" s="13">
        <f t="shared" si="2"/>
        <v>0.01849538001</v>
      </c>
      <c r="E304" s="5">
        <v>1199.0</v>
      </c>
      <c r="F304" s="14">
        <f t="shared" si="3"/>
        <v>1.25030859</v>
      </c>
      <c r="G304" s="14">
        <f t="shared" si="4"/>
        <v>23.12493251</v>
      </c>
      <c r="H304" s="4">
        <v>1499.12</v>
      </c>
      <c r="I304" s="13">
        <f t="shared" si="5"/>
        <v>0.01834862385</v>
      </c>
      <c r="J304" s="3">
        <v>22.0</v>
      </c>
      <c r="K304" s="14">
        <f t="shared" si="6"/>
        <v>190.6231818</v>
      </c>
      <c r="L304" s="4">
        <v>4193.71</v>
      </c>
      <c r="M304" s="15">
        <f t="shared" si="7"/>
        <v>2.797447836</v>
      </c>
    </row>
    <row r="305">
      <c r="A305" s="2">
        <v>45230.0</v>
      </c>
      <c r="B305" s="12">
        <f t="shared" si="1"/>
        <v>10</v>
      </c>
      <c r="C305" s="3">
        <v>47590.0</v>
      </c>
      <c r="D305" s="13">
        <f t="shared" si="2"/>
        <v>0.0294809834</v>
      </c>
      <c r="E305" s="5">
        <v>1403.0</v>
      </c>
      <c r="F305" s="14">
        <f t="shared" si="3"/>
        <v>1.320848182</v>
      </c>
      <c r="G305" s="14">
        <f t="shared" si="4"/>
        <v>38.93990334</v>
      </c>
      <c r="H305" s="4">
        <v>1853.15</v>
      </c>
      <c r="I305" s="13">
        <f t="shared" si="5"/>
        <v>0.02138275125</v>
      </c>
      <c r="J305" s="3">
        <v>30.0</v>
      </c>
      <c r="K305" s="14">
        <f t="shared" si="6"/>
        <v>130.9983333</v>
      </c>
      <c r="L305" s="4">
        <v>3929.95</v>
      </c>
      <c r="M305" s="15">
        <f t="shared" si="7"/>
        <v>2.120686399</v>
      </c>
    </row>
    <row r="306">
      <c r="A306" s="2">
        <v>45231.0</v>
      </c>
      <c r="B306" s="12">
        <f t="shared" si="1"/>
        <v>11</v>
      </c>
      <c r="C306" s="3">
        <v>17032.0</v>
      </c>
      <c r="D306" s="13">
        <f t="shared" si="2"/>
        <v>0.0266557069</v>
      </c>
      <c r="E306" s="3">
        <v>454.0</v>
      </c>
      <c r="F306" s="14">
        <f t="shared" si="3"/>
        <v>1.602643172</v>
      </c>
      <c r="G306" s="14">
        <f t="shared" si="4"/>
        <v>42.71958666</v>
      </c>
      <c r="H306" s="4">
        <v>727.6</v>
      </c>
      <c r="I306" s="13">
        <f t="shared" si="5"/>
        <v>0.01762114537</v>
      </c>
      <c r="J306" s="3">
        <v>8.0</v>
      </c>
      <c r="K306" s="14">
        <f t="shared" si="6"/>
        <v>180.105</v>
      </c>
      <c r="L306" s="4">
        <v>1440.84</v>
      </c>
      <c r="M306" s="15">
        <f t="shared" si="7"/>
        <v>1.980263881</v>
      </c>
    </row>
    <row r="307">
      <c r="A307" s="2">
        <v>45232.0</v>
      </c>
      <c r="B307" s="12">
        <f t="shared" si="1"/>
        <v>11</v>
      </c>
      <c r="C307" s="3">
        <v>98321.0</v>
      </c>
      <c r="D307" s="13">
        <f t="shared" si="2"/>
        <v>0.01909053</v>
      </c>
      <c r="E307" s="5">
        <v>1877.0</v>
      </c>
      <c r="F307" s="14">
        <f t="shared" si="3"/>
        <v>1.210596697</v>
      </c>
      <c r="G307" s="14">
        <f t="shared" si="4"/>
        <v>23.11093256</v>
      </c>
      <c r="H307" s="4">
        <v>2272.29</v>
      </c>
      <c r="I307" s="13">
        <f t="shared" si="5"/>
        <v>0.01385189132</v>
      </c>
      <c r="J307" s="3">
        <v>26.0</v>
      </c>
      <c r="K307" s="14">
        <f t="shared" si="6"/>
        <v>179.2411538</v>
      </c>
      <c r="L307" s="4">
        <v>4660.27</v>
      </c>
      <c r="M307" s="15">
        <f t="shared" si="7"/>
        <v>2.050913396</v>
      </c>
    </row>
    <row r="308">
      <c r="A308" s="2">
        <v>45233.0</v>
      </c>
      <c r="B308" s="12">
        <f t="shared" si="1"/>
        <v>11</v>
      </c>
      <c r="C308" s="3">
        <v>13212.0</v>
      </c>
      <c r="D308" s="13">
        <f t="shared" si="2"/>
        <v>0.01672721768</v>
      </c>
      <c r="E308" s="3">
        <v>221.0</v>
      </c>
      <c r="F308" s="14">
        <f t="shared" si="3"/>
        <v>1.677239819</v>
      </c>
      <c r="G308" s="14">
        <f t="shared" si="4"/>
        <v>28.05555556</v>
      </c>
      <c r="H308" s="4">
        <v>370.67</v>
      </c>
      <c r="I308" s="13">
        <f t="shared" si="5"/>
        <v>0.01809954751</v>
      </c>
      <c r="J308" s="3">
        <v>4.0</v>
      </c>
      <c r="K308" s="14">
        <f t="shared" si="6"/>
        <v>192.275</v>
      </c>
      <c r="L308" s="4">
        <v>769.1</v>
      </c>
      <c r="M308" s="15">
        <f t="shared" si="7"/>
        <v>2.074891413</v>
      </c>
    </row>
    <row r="309">
      <c r="A309" s="2">
        <v>45234.0</v>
      </c>
      <c r="B309" s="12">
        <f t="shared" si="1"/>
        <v>11</v>
      </c>
      <c r="C309" s="3">
        <v>12657.0</v>
      </c>
      <c r="D309" s="13">
        <f t="shared" si="2"/>
        <v>0.01817176266</v>
      </c>
      <c r="E309" s="3">
        <v>230.0</v>
      </c>
      <c r="F309" s="14">
        <f t="shared" si="3"/>
        <v>1.983043478</v>
      </c>
      <c r="G309" s="14">
        <f t="shared" si="4"/>
        <v>36.03539543</v>
      </c>
      <c r="H309" s="4">
        <v>456.1</v>
      </c>
      <c r="I309" s="13">
        <f t="shared" si="5"/>
        <v>0.01739130435</v>
      </c>
      <c r="J309" s="3">
        <v>4.0</v>
      </c>
      <c r="K309" s="14">
        <f t="shared" si="6"/>
        <v>138.63</v>
      </c>
      <c r="L309" s="4">
        <v>554.52</v>
      </c>
      <c r="M309" s="15">
        <f t="shared" si="7"/>
        <v>1.215786012</v>
      </c>
    </row>
    <row r="310">
      <c r="A310" s="2">
        <v>45235.0</v>
      </c>
      <c r="B310" s="12">
        <f t="shared" si="1"/>
        <v>11</v>
      </c>
      <c r="C310" s="3">
        <v>19896.0</v>
      </c>
      <c r="D310" s="13">
        <f t="shared" si="2"/>
        <v>0.02477885002</v>
      </c>
      <c r="E310" s="3">
        <v>493.0</v>
      </c>
      <c r="F310" s="14">
        <f t="shared" si="3"/>
        <v>1.401176471</v>
      </c>
      <c r="G310" s="14">
        <f t="shared" si="4"/>
        <v>34.71954162</v>
      </c>
      <c r="H310" s="4">
        <v>690.78</v>
      </c>
      <c r="I310" s="13">
        <f t="shared" si="5"/>
        <v>0.02231237323</v>
      </c>
      <c r="J310" s="3">
        <v>11.0</v>
      </c>
      <c r="K310" s="14">
        <f t="shared" si="6"/>
        <v>148.0445455</v>
      </c>
      <c r="L310" s="4">
        <v>1628.49</v>
      </c>
      <c r="M310" s="15">
        <f t="shared" si="7"/>
        <v>2.357465474</v>
      </c>
    </row>
    <row r="311">
      <c r="A311" s="2">
        <v>45236.0</v>
      </c>
      <c r="B311" s="12">
        <f t="shared" si="1"/>
        <v>11</v>
      </c>
      <c r="C311" s="3">
        <v>88487.0</v>
      </c>
      <c r="D311" s="13">
        <f t="shared" si="2"/>
        <v>0.02949585815</v>
      </c>
      <c r="E311" s="5">
        <v>2610.0</v>
      </c>
      <c r="F311" s="14">
        <f t="shared" si="3"/>
        <v>1.040145594</v>
      </c>
      <c r="G311" s="14">
        <f t="shared" si="4"/>
        <v>30.67998689</v>
      </c>
      <c r="H311" s="4">
        <v>2714.78</v>
      </c>
      <c r="I311" s="13">
        <f t="shared" si="5"/>
        <v>0.02260536398</v>
      </c>
      <c r="J311" s="3">
        <v>59.0</v>
      </c>
      <c r="K311" s="14">
        <f t="shared" si="6"/>
        <v>188.8135593</v>
      </c>
      <c r="L311" s="4">
        <v>11140.0</v>
      </c>
      <c r="M311" s="15">
        <f t="shared" si="7"/>
        <v>4.103463264</v>
      </c>
    </row>
    <row r="312">
      <c r="A312" s="2">
        <v>45237.0</v>
      </c>
      <c r="B312" s="12">
        <f t="shared" si="1"/>
        <v>11</v>
      </c>
      <c r="C312" s="3">
        <v>35632.0</v>
      </c>
      <c r="D312" s="13">
        <f t="shared" si="2"/>
        <v>0.01947687472</v>
      </c>
      <c r="E312" s="3">
        <v>694.0</v>
      </c>
      <c r="F312" s="14">
        <f t="shared" si="3"/>
        <v>1.73204611</v>
      </c>
      <c r="G312" s="14">
        <f t="shared" si="4"/>
        <v>33.73484508</v>
      </c>
      <c r="H312" s="4">
        <v>1202.04</v>
      </c>
      <c r="I312" s="13">
        <f t="shared" si="5"/>
        <v>0.01729106628</v>
      </c>
      <c r="J312" s="3">
        <v>12.0</v>
      </c>
      <c r="K312" s="14">
        <f t="shared" si="6"/>
        <v>136.5325</v>
      </c>
      <c r="L312" s="4">
        <v>1638.39</v>
      </c>
      <c r="M312" s="15">
        <f t="shared" si="7"/>
        <v>1.363007887</v>
      </c>
    </row>
    <row r="313">
      <c r="A313" s="2">
        <v>45238.0</v>
      </c>
      <c r="B313" s="12">
        <f t="shared" si="1"/>
        <v>11</v>
      </c>
      <c r="C313" s="3">
        <v>94021.0</v>
      </c>
      <c r="D313" s="13">
        <f t="shared" si="2"/>
        <v>0.02309058615</v>
      </c>
      <c r="E313" s="5">
        <v>2171.0</v>
      </c>
      <c r="F313" s="14">
        <f t="shared" si="3"/>
        <v>1.150465223</v>
      </c>
      <c r="G313" s="14">
        <f t="shared" si="4"/>
        <v>26.56491635</v>
      </c>
      <c r="H313" s="4">
        <v>2497.66</v>
      </c>
      <c r="I313" s="13">
        <f t="shared" si="5"/>
        <v>0.02395209581</v>
      </c>
      <c r="J313" s="3">
        <v>52.0</v>
      </c>
      <c r="K313" s="14">
        <f t="shared" si="6"/>
        <v>173.1326923</v>
      </c>
      <c r="L313" s="4">
        <v>9002.9</v>
      </c>
      <c r="M313" s="15">
        <f t="shared" si="7"/>
        <v>3.604533844</v>
      </c>
    </row>
    <row r="314">
      <c r="A314" s="2">
        <v>45239.0</v>
      </c>
      <c r="B314" s="12">
        <f t="shared" si="1"/>
        <v>11</v>
      </c>
      <c r="C314" s="3">
        <v>68712.0</v>
      </c>
      <c r="D314" s="13">
        <f t="shared" si="2"/>
        <v>0.02379497031</v>
      </c>
      <c r="E314" s="5">
        <v>1635.0</v>
      </c>
      <c r="F314" s="14">
        <f t="shared" si="3"/>
        <v>1.500311927</v>
      </c>
      <c r="G314" s="14">
        <f t="shared" si="4"/>
        <v>35.69987775</v>
      </c>
      <c r="H314" s="4">
        <v>2453.01</v>
      </c>
      <c r="I314" s="13">
        <f t="shared" si="5"/>
        <v>0.02385321101</v>
      </c>
      <c r="J314" s="3">
        <v>39.0</v>
      </c>
      <c r="K314" s="14">
        <f t="shared" si="6"/>
        <v>167.3628205</v>
      </c>
      <c r="L314" s="4">
        <v>6527.15</v>
      </c>
      <c r="M314" s="15">
        <f t="shared" si="7"/>
        <v>2.660873784</v>
      </c>
    </row>
    <row r="315">
      <c r="A315" s="2">
        <v>45240.0</v>
      </c>
      <c r="B315" s="12">
        <f t="shared" si="1"/>
        <v>11</v>
      </c>
      <c r="C315" s="3">
        <v>20540.0</v>
      </c>
      <c r="D315" s="13">
        <f t="shared" si="2"/>
        <v>0.02439143135</v>
      </c>
      <c r="E315" s="3">
        <v>501.0</v>
      </c>
      <c r="F315" s="14">
        <f t="shared" si="3"/>
        <v>1.070359281</v>
      </c>
      <c r="G315" s="14">
        <f t="shared" si="4"/>
        <v>26.10759494</v>
      </c>
      <c r="H315" s="4">
        <v>536.25</v>
      </c>
      <c r="I315" s="13">
        <f t="shared" si="5"/>
        <v>0.01996007984</v>
      </c>
      <c r="J315" s="3">
        <v>10.0</v>
      </c>
      <c r="K315" s="14">
        <f t="shared" si="6"/>
        <v>157.119</v>
      </c>
      <c r="L315" s="4">
        <v>1571.19</v>
      </c>
      <c r="M315" s="15">
        <f t="shared" si="7"/>
        <v>2.929958042</v>
      </c>
    </row>
    <row r="316">
      <c r="A316" s="2">
        <v>45241.0</v>
      </c>
      <c r="B316" s="12">
        <f t="shared" si="1"/>
        <v>11</v>
      </c>
      <c r="C316" s="3">
        <v>35478.0</v>
      </c>
      <c r="D316" s="13">
        <f t="shared" si="2"/>
        <v>0.01178194938</v>
      </c>
      <c r="E316" s="3">
        <v>418.0</v>
      </c>
      <c r="F316" s="14">
        <f t="shared" si="3"/>
        <v>1.0015311</v>
      </c>
      <c r="G316" s="14">
        <f t="shared" si="4"/>
        <v>11.79998873</v>
      </c>
      <c r="H316" s="4">
        <v>418.64</v>
      </c>
      <c r="I316" s="13">
        <f t="shared" si="5"/>
        <v>0.02392344498</v>
      </c>
      <c r="J316" s="3">
        <v>10.0</v>
      </c>
      <c r="K316" s="14">
        <f t="shared" si="6"/>
        <v>132.169</v>
      </c>
      <c r="L316" s="4">
        <v>1321.69</v>
      </c>
      <c r="M316" s="15">
        <f t="shared" si="7"/>
        <v>3.157103956</v>
      </c>
    </row>
    <row r="317">
      <c r="A317" s="2">
        <v>45242.0</v>
      </c>
      <c r="B317" s="12">
        <f t="shared" si="1"/>
        <v>11</v>
      </c>
      <c r="C317" s="3">
        <v>53934.0</v>
      </c>
      <c r="D317" s="13">
        <f t="shared" si="2"/>
        <v>0.01349797901</v>
      </c>
      <c r="E317" s="3">
        <v>728.0</v>
      </c>
      <c r="F317" s="14">
        <f t="shared" si="3"/>
        <v>1.910274725</v>
      </c>
      <c r="G317" s="14">
        <f t="shared" si="4"/>
        <v>25.78484815</v>
      </c>
      <c r="H317" s="4">
        <v>1390.68</v>
      </c>
      <c r="I317" s="13">
        <f t="shared" si="5"/>
        <v>0.0206043956</v>
      </c>
      <c r="J317" s="3">
        <v>15.0</v>
      </c>
      <c r="K317" s="14">
        <f t="shared" si="6"/>
        <v>198.696</v>
      </c>
      <c r="L317" s="4">
        <v>2980.44</v>
      </c>
      <c r="M317" s="15">
        <f t="shared" si="7"/>
        <v>2.14315299</v>
      </c>
    </row>
    <row r="318">
      <c r="A318" s="2">
        <v>45243.0</v>
      </c>
      <c r="B318" s="12">
        <f t="shared" si="1"/>
        <v>11</v>
      </c>
      <c r="C318" s="3">
        <v>93139.0</v>
      </c>
      <c r="D318" s="13">
        <f t="shared" si="2"/>
        <v>0.02569278176</v>
      </c>
      <c r="E318" s="5">
        <v>2393.0</v>
      </c>
      <c r="F318" s="14">
        <f t="shared" si="3"/>
        <v>1.130313414</v>
      </c>
      <c r="G318" s="14">
        <f t="shared" si="4"/>
        <v>29.04089587</v>
      </c>
      <c r="H318" s="4">
        <v>2704.84</v>
      </c>
      <c r="I318" s="13">
        <f t="shared" si="5"/>
        <v>0.01253656498</v>
      </c>
      <c r="J318" s="3">
        <v>30.0</v>
      </c>
      <c r="K318" s="14">
        <f t="shared" si="6"/>
        <v>114.25</v>
      </c>
      <c r="L318" s="4">
        <v>3427.5</v>
      </c>
      <c r="M318" s="15">
        <f t="shared" si="7"/>
        <v>1.26717292</v>
      </c>
    </row>
    <row r="319">
      <c r="A319" s="2">
        <v>45244.0</v>
      </c>
      <c r="B319" s="12">
        <f t="shared" si="1"/>
        <v>11</v>
      </c>
      <c r="C319" s="3">
        <v>76825.0</v>
      </c>
      <c r="D319" s="13">
        <f t="shared" si="2"/>
        <v>0.01649202733</v>
      </c>
      <c r="E319" s="5">
        <v>1267.0</v>
      </c>
      <c r="F319" s="14">
        <f t="shared" si="3"/>
        <v>1.620781373</v>
      </c>
      <c r="G319" s="14">
        <f t="shared" si="4"/>
        <v>26.72997071</v>
      </c>
      <c r="H319" s="4">
        <v>2053.53</v>
      </c>
      <c r="I319" s="13">
        <f t="shared" si="5"/>
        <v>0.01499605367</v>
      </c>
      <c r="J319" s="3">
        <v>19.0</v>
      </c>
      <c r="K319" s="14">
        <f t="shared" si="6"/>
        <v>144.0610526</v>
      </c>
      <c r="L319" s="4">
        <v>2737.16</v>
      </c>
      <c r="M319" s="15">
        <f t="shared" si="7"/>
        <v>1.332904803</v>
      </c>
    </row>
    <row r="320">
      <c r="A320" s="2">
        <v>45245.0</v>
      </c>
      <c r="B320" s="12">
        <f t="shared" si="1"/>
        <v>11</v>
      </c>
      <c r="C320" s="3">
        <v>69812.0</v>
      </c>
      <c r="D320" s="13">
        <f t="shared" si="2"/>
        <v>0.01678794477</v>
      </c>
      <c r="E320" s="5">
        <v>1172.0</v>
      </c>
      <c r="F320" s="14">
        <f t="shared" si="3"/>
        <v>1.14081058</v>
      </c>
      <c r="G320" s="14">
        <f t="shared" si="4"/>
        <v>19.15186501</v>
      </c>
      <c r="H320" s="4">
        <v>1337.03</v>
      </c>
      <c r="I320" s="13">
        <f t="shared" si="5"/>
        <v>0.01535836177</v>
      </c>
      <c r="J320" s="3">
        <v>18.0</v>
      </c>
      <c r="K320" s="14">
        <f t="shared" si="6"/>
        <v>121.4805556</v>
      </c>
      <c r="L320" s="4">
        <v>2186.65</v>
      </c>
      <c r="M320" s="15">
        <f t="shared" si="7"/>
        <v>1.635453206</v>
      </c>
    </row>
    <row r="321">
      <c r="A321" s="2">
        <v>45246.0</v>
      </c>
      <c r="B321" s="12">
        <f t="shared" si="1"/>
        <v>11</v>
      </c>
      <c r="C321" s="3">
        <v>55567.0</v>
      </c>
      <c r="D321" s="13">
        <f t="shared" si="2"/>
        <v>0.0101859017</v>
      </c>
      <c r="E321" s="3">
        <v>566.0</v>
      </c>
      <c r="F321" s="14">
        <f t="shared" si="3"/>
        <v>1.281766784</v>
      </c>
      <c r="G321" s="14">
        <f t="shared" si="4"/>
        <v>13.05595047</v>
      </c>
      <c r="H321" s="4">
        <v>725.48</v>
      </c>
      <c r="I321" s="13">
        <f t="shared" si="5"/>
        <v>0.02120141343</v>
      </c>
      <c r="J321" s="3">
        <v>12.0</v>
      </c>
      <c r="K321" s="14">
        <f t="shared" si="6"/>
        <v>131.6591667</v>
      </c>
      <c r="L321" s="4">
        <v>1579.91</v>
      </c>
      <c r="M321" s="15">
        <f t="shared" si="7"/>
        <v>2.17774439</v>
      </c>
    </row>
    <row r="322">
      <c r="A322" s="2">
        <v>45247.0</v>
      </c>
      <c r="B322" s="12">
        <f t="shared" si="1"/>
        <v>11</v>
      </c>
      <c r="C322" s="3">
        <v>71139.0</v>
      </c>
      <c r="D322" s="13">
        <f t="shared" si="2"/>
        <v>0.0284935127</v>
      </c>
      <c r="E322" s="5">
        <v>2027.0</v>
      </c>
      <c r="F322" s="14">
        <f t="shared" si="3"/>
        <v>1.250281204</v>
      </c>
      <c r="G322" s="14">
        <f t="shared" si="4"/>
        <v>35.62490336</v>
      </c>
      <c r="H322" s="4">
        <v>2534.32</v>
      </c>
      <c r="I322" s="13">
        <f t="shared" si="5"/>
        <v>0.02466699556</v>
      </c>
      <c r="J322" s="3">
        <v>50.0</v>
      </c>
      <c r="K322" s="14">
        <f t="shared" si="6"/>
        <v>137.316</v>
      </c>
      <c r="L322" s="4">
        <v>6865.8</v>
      </c>
      <c r="M322" s="15">
        <f t="shared" si="7"/>
        <v>2.709129076</v>
      </c>
    </row>
    <row r="323">
      <c r="A323" s="2">
        <v>45248.0</v>
      </c>
      <c r="B323" s="12">
        <f t="shared" si="1"/>
        <v>11</v>
      </c>
      <c r="C323" s="3">
        <v>72501.0</v>
      </c>
      <c r="D323" s="13">
        <f t="shared" si="2"/>
        <v>0.01439980138</v>
      </c>
      <c r="E323" s="5">
        <v>1044.0</v>
      </c>
      <c r="F323" s="14">
        <f t="shared" si="3"/>
        <v>1.520019157</v>
      </c>
      <c r="G323" s="14">
        <f t="shared" si="4"/>
        <v>21.88797396</v>
      </c>
      <c r="H323" s="4">
        <v>1586.9</v>
      </c>
      <c r="I323" s="13">
        <f t="shared" si="5"/>
        <v>0.02203065134</v>
      </c>
      <c r="J323" s="3">
        <v>23.0</v>
      </c>
      <c r="K323" s="14">
        <f t="shared" si="6"/>
        <v>159.0078261</v>
      </c>
      <c r="L323" s="4">
        <v>3657.18</v>
      </c>
      <c r="M323" s="15">
        <f t="shared" si="7"/>
        <v>2.304606465</v>
      </c>
    </row>
    <row r="324">
      <c r="A324" s="2">
        <v>45249.0</v>
      </c>
      <c r="B324" s="12">
        <f t="shared" si="1"/>
        <v>11</v>
      </c>
      <c r="C324" s="3">
        <v>60693.0</v>
      </c>
      <c r="D324" s="13">
        <f t="shared" si="2"/>
        <v>0.01179707709</v>
      </c>
      <c r="E324" s="3">
        <v>716.0</v>
      </c>
      <c r="F324" s="14">
        <f t="shared" si="3"/>
        <v>1.760432961</v>
      </c>
      <c r="G324" s="14">
        <f t="shared" si="4"/>
        <v>20.76796336</v>
      </c>
      <c r="H324" s="4">
        <v>1260.47</v>
      </c>
      <c r="I324" s="13">
        <f t="shared" si="5"/>
        <v>0.01536312849</v>
      </c>
      <c r="J324" s="3">
        <v>11.0</v>
      </c>
      <c r="K324" s="14">
        <f t="shared" si="6"/>
        <v>148.0663636</v>
      </c>
      <c r="L324" s="4">
        <v>1628.73</v>
      </c>
      <c r="M324" s="15">
        <f t="shared" si="7"/>
        <v>1.292160861</v>
      </c>
    </row>
    <row r="325">
      <c r="A325" s="2">
        <v>45250.0</v>
      </c>
      <c r="B325" s="12">
        <f t="shared" si="1"/>
        <v>11</v>
      </c>
      <c r="C325" s="3">
        <v>76237.0</v>
      </c>
      <c r="D325" s="13">
        <f t="shared" si="2"/>
        <v>0.01938691187</v>
      </c>
      <c r="E325" s="5">
        <v>1478.0</v>
      </c>
      <c r="F325" s="14">
        <f t="shared" si="3"/>
        <v>1.23082544</v>
      </c>
      <c r="G325" s="14">
        <f t="shared" si="4"/>
        <v>23.86190432</v>
      </c>
      <c r="H325" s="4">
        <v>1819.16</v>
      </c>
      <c r="I325" s="13">
        <f t="shared" si="5"/>
        <v>0.02300405954</v>
      </c>
      <c r="J325" s="3">
        <v>34.0</v>
      </c>
      <c r="K325" s="14">
        <f t="shared" si="6"/>
        <v>174.0605882</v>
      </c>
      <c r="L325" s="4">
        <v>5918.06</v>
      </c>
      <c r="M325" s="15">
        <f t="shared" si="7"/>
        <v>3.253182788</v>
      </c>
    </row>
    <row r="326">
      <c r="A326" s="2">
        <v>45251.0</v>
      </c>
      <c r="B326" s="12">
        <f t="shared" si="1"/>
        <v>11</v>
      </c>
      <c r="C326" s="3">
        <v>25965.0</v>
      </c>
      <c r="D326" s="13">
        <f t="shared" si="2"/>
        <v>0.01009050645</v>
      </c>
      <c r="E326" s="3">
        <v>262.0</v>
      </c>
      <c r="F326" s="14">
        <f t="shared" si="3"/>
        <v>1.61148855</v>
      </c>
      <c r="G326" s="14">
        <f t="shared" si="4"/>
        <v>16.26073561</v>
      </c>
      <c r="H326" s="4">
        <v>422.21</v>
      </c>
      <c r="I326" s="13">
        <f t="shared" si="5"/>
        <v>0.02290076336</v>
      </c>
      <c r="J326" s="3">
        <v>6.0</v>
      </c>
      <c r="K326" s="14">
        <f t="shared" si="6"/>
        <v>199.91</v>
      </c>
      <c r="L326" s="4">
        <v>1199.46</v>
      </c>
      <c r="M326" s="15">
        <f t="shared" si="7"/>
        <v>2.840908553</v>
      </c>
    </row>
    <row r="327">
      <c r="A327" s="2">
        <v>45252.0</v>
      </c>
      <c r="B327" s="12">
        <f t="shared" si="1"/>
        <v>11</v>
      </c>
      <c r="C327" s="3">
        <v>97709.0</v>
      </c>
      <c r="D327" s="13">
        <f t="shared" si="2"/>
        <v>0.02389749153</v>
      </c>
      <c r="E327" s="5">
        <v>2335.0</v>
      </c>
      <c r="F327" s="14">
        <f t="shared" si="3"/>
        <v>1.500154176</v>
      </c>
      <c r="G327" s="14">
        <f t="shared" si="4"/>
        <v>35.84992171</v>
      </c>
      <c r="H327" s="4">
        <v>3502.86</v>
      </c>
      <c r="I327" s="13">
        <f t="shared" si="5"/>
        <v>0.01456102784</v>
      </c>
      <c r="J327" s="3">
        <v>34.0</v>
      </c>
      <c r="K327" s="14">
        <f t="shared" si="6"/>
        <v>121.9823529</v>
      </c>
      <c r="L327" s="4">
        <v>4147.4</v>
      </c>
      <c r="M327" s="15">
        <f t="shared" si="7"/>
        <v>1.184003928</v>
      </c>
    </row>
    <row r="328">
      <c r="A328" s="2">
        <v>45253.0</v>
      </c>
      <c r="B328" s="12">
        <f t="shared" si="1"/>
        <v>11</v>
      </c>
      <c r="C328" s="3">
        <v>62949.0</v>
      </c>
      <c r="D328" s="13">
        <f t="shared" si="2"/>
        <v>0.01199383628</v>
      </c>
      <c r="E328" s="3">
        <v>755.0</v>
      </c>
      <c r="F328" s="14">
        <f t="shared" si="3"/>
        <v>1.500768212</v>
      </c>
      <c r="G328" s="14">
        <f t="shared" si="4"/>
        <v>17.99996823</v>
      </c>
      <c r="H328" s="4">
        <v>1133.08</v>
      </c>
      <c r="I328" s="13">
        <f t="shared" si="5"/>
        <v>0.0119205298</v>
      </c>
      <c r="J328" s="3">
        <v>9.0</v>
      </c>
      <c r="K328" s="14">
        <f t="shared" si="6"/>
        <v>192.3044444</v>
      </c>
      <c r="L328" s="4">
        <v>1730.74</v>
      </c>
      <c r="M328" s="15">
        <f t="shared" si="7"/>
        <v>1.527464963</v>
      </c>
    </row>
    <row r="329">
      <c r="A329" s="2">
        <v>45254.0</v>
      </c>
      <c r="B329" s="12">
        <f t="shared" si="1"/>
        <v>11</v>
      </c>
      <c r="C329" s="3">
        <v>49105.0</v>
      </c>
      <c r="D329" s="13">
        <f t="shared" si="2"/>
        <v>0.0153955809</v>
      </c>
      <c r="E329" s="3">
        <v>756.0</v>
      </c>
      <c r="F329" s="14">
        <f t="shared" si="3"/>
        <v>1.580449735</v>
      </c>
      <c r="G329" s="14">
        <f t="shared" si="4"/>
        <v>24.33194176</v>
      </c>
      <c r="H329" s="4">
        <v>1194.82</v>
      </c>
      <c r="I329" s="13">
        <f t="shared" si="5"/>
        <v>0.01322751323</v>
      </c>
      <c r="J329" s="3">
        <v>10.0</v>
      </c>
      <c r="K329" s="14">
        <f t="shared" si="6"/>
        <v>156.053</v>
      </c>
      <c r="L329" s="4">
        <v>1560.53</v>
      </c>
      <c r="M329" s="15">
        <f t="shared" si="7"/>
        <v>1.306079577</v>
      </c>
    </row>
    <row r="330">
      <c r="A330" s="2">
        <v>45255.0</v>
      </c>
      <c r="B330" s="12">
        <f t="shared" si="1"/>
        <v>11</v>
      </c>
      <c r="C330" s="3">
        <v>17204.0</v>
      </c>
      <c r="D330" s="13">
        <f t="shared" si="2"/>
        <v>0.01325273192</v>
      </c>
      <c r="E330" s="3">
        <v>228.0</v>
      </c>
      <c r="F330" s="14">
        <f t="shared" si="3"/>
        <v>1.655877193</v>
      </c>
      <c r="G330" s="14">
        <f t="shared" si="4"/>
        <v>21.94489654</v>
      </c>
      <c r="H330" s="4">
        <v>377.54</v>
      </c>
      <c r="I330" s="13">
        <f t="shared" si="5"/>
        <v>0.01315789474</v>
      </c>
      <c r="J330" s="3">
        <v>3.0</v>
      </c>
      <c r="K330" s="14">
        <f t="shared" si="6"/>
        <v>201.3866667</v>
      </c>
      <c r="L330" s="4">
        <v>604.16</v>
      </c>
      <c r="M330" s="15">
        <f t="shared" si="7"/>
        <v>1.600254278</v>
      </c>
    </row>
    <row r="331">
      <c r="A331" s="2">
        <v>45256.0</v>
      </c>
      <c r="B331" s="12">
        <f t="shared" si="1"/>
        <v>11</v>
      </c>
      <c r="C331" s="3">
        <v>16782.0</v>
      </c>
      <c r="D331" s="13">
        <f t="shared" si="2"/>
        <v>0.0103682517</v>
      </c>
      <c r="E331" s="3">
        <v>174.0</v>
      </c>
      <c r="F331" s="14">
        <f t="shared" si="3"/>
        <v>1.80545977</v>
      </c>
      <c r="G331" s="14">
        <f t="shared" si="4"/>
        <v>18.71946133</v>
      </c>
      <c r="H331" s="4">
        <v>314.15</v>
      </c>
      <c r="I331" s="13">
        <f t="shared" si="5"/>
        <v>0.01724137931</v>
      </c>
      <c r="J331" s="3">
        <v>3.0</v>
      </c>
      <c r="K331" s="14">
        <f t="shared" si="6"/>
        <v>133.0866667</v>
      </c>
      <c r="L331" s="4">
        <v>399.26</v>
      </c>
      <c r="M331" s="15">
        <f t="shared" si="7"/>
        <v>1.270921534</v>
      </c>
    </row>
    <row r="332">
      <c r="A332" s="2">
        <v>45257.0</v>
      </c>
      <c r="B332" s="12">
        <f t="shared" si="1"/>
        <v>11</v>
      </c>
      <c r="C332" s="3">
        <v>14376.0</v>
      </c>
      <c r="D332" s="13">
        <f t="shared" si="2"/>
        <v>0.01704229271</v>
      </c>
      <c r="E332" s="3">
        <v>245.0</v>
      </c>
      <c r="F332" s="14">
        <f t="shared" si="3"/>
        <v>1.525142857</v>
      </c>
      <c r="G332" s="14">
        <f t="shared" si="4"/>
        <v>25.991931</v>
      </c>
      <c r="H332" s="4">
        <v>373.66</v>
      </c>
      <c r="I332" s="13">
        <f t="shared" si="5"/>
        <v>0.01224489796</v>
      </c>
      <c r="J332" s="3">
        <v>3.0</v>
      </c>
      <c r="K332" s="14">
        <f t="shared" si="6"/>
        <v>201.9066667</v>
      </c>
      <c r="L332" s="4">
        <v>605.72</v>
      </c>
      <c r="M332" s="15">
        <f t="shared" si="7"/>
        <v>1.621045871</v>
      </c>
    </row>
    <row r="333">
      <c r="A333" s="2">
        <v>45258.0</v>
      </c>
      <c r="B333" s="12">
        <f t="shared" si="1"/>
        <v>11</v>
      </c>
      <c r="C333" s="3">
        <v>78944.0</v>
      </c>
      <c r="D333" s="13">
        <f t="shared" si="2"/>
        <v>0.02329499392</v>
      </c>
      <c r="E333" s="5">
        <v>1839.0</v>
      </c>
      <c r="F333" s="14">
        <f t="shared" si="3"/>
        <v>1.90040783</v>
      </c>
      <c r="G333" s="14">
        <f t="shared" si="4"/>
        <v>44.26998885</v>
      </c>
      <c r="H333" s="4">
        <v>3494.85</v>
      </c>
      <c r="I333" s="13">
        <f t="shared" si="5"/>
        <v>0.01305057096</v>
      </c>
      <c r="J333" s="3">
        <v>24.0</v>
      </c>
      <c r="K333" s="14">
        <f t="shared" si="6"/>
        <v>108.2483333</v>
      </c>
      <c r="L333" s="4">
        <v>2597.96</v>
      </c>
      <c r="M333" s="15">
        <f t="shared" si="7"/>
        <v>0.7433680988</v>
      </c>
    </row>
    <row r="334">
      <c r="A334" s="2">
        <v>45259.0</v>
      </c>
      <c r="B334" s="12">
        <f t="shared" si="1"/>
        <v>11</v>
      </c>
      <c r="C334" s="3">
        <v>26974.0</v>
      </c>
      <c r="D334" s="13">
        <f t="shared" si="2"/>
        <v>0.02517238823</v>
      </c>
      <c r="E334" s="3">
        <v>679.0</v>
      </c>
      <c r="F334" s="14">
        <f t="shared" si="3"/>
        <v>1.661811487</v>
      </c>
      <c r="G334" s="14">
        <f t="shared" si="4"/>
        <v>41.83176392</v>
      </c>
      <c r="H334" s="4">
        <v>1128.37</v>
      </c>
      <c r="I334" s="13">
        <f t="shared" si="5"/>
        <v>0.0147275405</v>
      </c>
      <c r="J334" s="3">
        <v>10.0</v>
      </c>
      <c r="K334" s="14">
        <f t="shared" si="6"/>
        <v>180.649</v>
      </c>
      <c r="L334" s="4">
        <v>1806.49</v>
      </c>
      <c r="M334" s="15">
        <f t="shared" si="7"/>
        <v>1.600973085</v>
      </c>
    </row>
    <row r="335">
      <c r="A335" s="2">
        <v>45260.0</v>
      </c>
      <c r="B335" s="12">
        <f t="shared" si="1"/>
        <v>11</v>
      </c>
      <c r="C335" s="3">
        <v>38378.0</v>
      </c>
      <c r="D335" s="13">
        <f t="shared" si="2"/>
        <v>0.02639533066</v>
      </c>
      <c r="E335" s="5">
        <v>1013.0</v>
      </c>
      <c r="F335" s="14">
        <f t="shared" si="3"/>
        <v>1.590276407</v>
      </c>
      <c r="G335" s="14">
        <f t="shared" si="4"/>
        <v>41.97587159</v>
      </c>
      <c r="H335" s="4">
        <v>1610.95</v>
      </c>
      <c r="I335" s="13">
        <f t="shared" si="5"/>
        <v>0.01776900296</v>
      </c>
      <c r="J335" s="3">
        <v>18.0</v>
      </c>
      <c r="K335" s="14">
        <f t="shared" si="6"/>
        <v>163.3133333</v>
      </c>
      <c r="L335" s="4">
        <v>2939.64</v>
      </c>
      <c r="M335" s="15">
        <f t="shared" si="7"/>
        <v>1.824786617</v>
      </c>
    </row>
    <row r="336">
      <c r="A336" s="2">
        <v>45261.0</v>
      </c>
      <c r="B336" s="12">
        <f t="shared" si="1"/>
        <v>12</v>
      </c>
      <c r="C336" s="5">
        <v>99954.0</v>
      </c>
      <c r="D336" s="13">
        <f t="shared" si="2"/>
        <v>0.02448126138</v>
      </c>
      <c r="E336" s="3">
        <v>2447.0</v>
      </c>
      <c r="F336" s="14">
        <f t="shared" si="3"/>
        <v>1.200915407</v>
      </c>
      <c r="G336" s="14">
        <f t="shared" si="4"/>
        <v>29.39992397</v>
      </c>
      <c r="H336" s="4">
        <v>2938.64</v>
      </c>
      <c r="I336" s="13">
        <f t="shared" si="5"/>
        <v>0.01266857376</v>
      </c>
      <c r="J336" s="3">
        <v>31.0</v>
      </c>
      <c r="K336" s="14">
        <f t="shared" si="6"/>
        <v>178.6703226</v>
      </c>
      <c r="L336" s="4">
        <v>5538.78</v>
      </c>
      <c r="M336" s="15">
        <f t="shared" si="7"/>
        <v>1.884810661</v>
      </c>
    </row>
    <row r="337">
      <c r="A337" s="2">
        <v>45262.0</v>
      </c>
      <c r="B337" s="12">
        <f t="shared" si="1"/>
        <v>12</v>
      </c>
      <c r="C337" s="5">
        <v>92967.0</v>
      </c>
      <c r="D337" s="13">
        <f t="shared" si="2"/>
        <v>0.02018995988</v>
      </c>
      <c r="E337" s="3">
        <v>1877.0</v>
      </c>
      <c r="F337" s="14">
        <f t="shared" si="3"/>
        <v>1.450719233</v>
      </c>
      <c r="G337" s="14">
        <f t="shared" si="4"/>
        <v>29.28996311</v>
      </c>
      <c r="H337" s="4">
        <v>2723.0</v>
      </c>
      <c r="I337" s="13">
        <f t="shared" si="5"/>
        <v>0.01811401172</v>
      </c>
      <c r="J337" s="3">
        <v>34.0</v>
      </c>
      <c r="K337" s="14">
        <f t="shared" si="6"/>
        <v>196.255</v>
      </c>
      <c r="L337" s="4">
        <v>6672.67</v>
      </c>
      <c r="M337" s="15">
        <f t="shared" si="7"/>
        <v>2.450484759</v>
      </c>
    </row>
    <row r="338">
      <c r="A338" s="2">
        <v>45263.0</v>
      </c>
      <c r="B338" s="12">
        <f t="shared" si="1"/>
        <v>12</v>
      </c>
      <c r="C338" s="5">
        <v>57849.0</v>
      </c>
      <c r="D338" s="13">
        <f t="shared" si="2"/>
        <v>0.01158187696</v>
      </c>
      <c r="E338" s="3">
        <v>670.0</v>
      </c>
      <c r="F338" s="14">
        <f t="shared" si="3"/>
        <v>1.842865672</v>
      </c>
      <c r="G338" s="14">
        <f t="shared" si="4"/>
        <v>21.34384345</v>
      </c>
      <c r="H338" s="4">
        <v>1234.72</v>
      </c>
      <c r="I338" s="13">
        <f t="shared" si="5"/>
        <v>0.01791044776</v>
      </c>
      <c r="J338" s="3">
        <v>12.0</v>
      </c>
      <c r="K338" s="14">
        <f t="shared" si="6"/>
        <v>218.7783333</v>
      </c>
      <c r="L338" s="4">
        <v>2625.34</v>
      </c>
      <c r="M338" s="15">
        <f t="shared" si="7"/>
        <v>2.126263444</v>
      </c>
    </row>
    <row r="339">
      <c r="A339" s="2">
        <v>45264.0</v>
      </c>
      <c r="B339" s="12">
        <f t="shared" si="1"/>
        <v>12</v>
      </c>
      <c r="C339" s="5">
        <v>106053.0</v>
      </c>
      <c r="D339" s="13">
        <f t="shared" si="2"/>
        <v>0.02609072822</v>
      </c>
      <c r="E339" s="3">
        <v>2767.0</v>
      </c>
      <c r="F339" s="14">
        <f t="shared" si="3"/>
        <v>1.690596314</v>
      </c>
      <c r="G339" s="14">
        <f t="shared" si="4"/>
        <v>44.10888895</v>
      </c>
      <c r="H339" s="4">
        <v>4677.88</v>
      </c>
      <c r="I339" s="13">
        <f t="shared" si="5"/>
        <v>0.02240693892</v>
      </c>
      <c r="J339" s="3">
        <v>62.0</v>
      </c>
      <c r="K339" s="14">
        <f t="shared" si="6"/>
        <v>183.5708065</v>
      </c>
      <c r="L339" s="4">
        <v>11381.39</v>
      </c>
      <c r="M339" s="15">
        <f t="shared" si="7"/>
        <v>2.433023079</v>
      </c>
    </row>
    <row r="340">
      <c r="A340" s="2">
        <v>45265.0</v>
      </c>
      <c r="B340" s="12">
        <f t="shared" si="1"/>
        <v>12</v>
      </c>
      <c r="C340" s="5">
        <v>76114.0</v>
      </c>
      <c r="D340" s="13">
        <f t="shared" si="2"/>
        <v>0.01009012797</v>
      </c>
      <c r="E340" s="3">
        <v>768.0</v>
      </c>
      <c r="F340" s="14">
        <f t="shared" si="3"/>
        <v>1.541497396</v>
      </c>
      <c r="G340" s="14">
        <f t="shared" si="4"/>
        <v>15.55390598</v>
      </c>
      <c r="H340" s="4">
        <v>1183.87</v>
      </c>
      <c r="I340" s="13">
        <f t="shared" si="5"/>
        <v>0.02473958333</v>
      </c>
      <c r="J340" s="3">
        <v>19.0</v>
      </c>
      <c r="K340" s="14">
        <f t="shared" si="6"/>
        <v>121.3815789</v>
      </c>
      <c r="L340" s="4">
        <v>2306.25</v>
      </c>
      <c r="M340" s="15">
        <f t="shared" si="7"/>
        <v>1.948060176</v>
      </c>
    </row>
    <row r="341">
      <c r="A341" s="2">
        <v>45266.0</v>
      </c>
      <c r="B341" s="12">
        <f t="shared" si="1"/>
        <v>12</v>
      </c>
      <c r="C341" s="5">
        <v>56666.0</v>
      </c>
      <c r="D341" s="13">
        <f t="shared" si="2"/>
        <v>0.02978858575</v>
      </c>
      <c r="E341" s="3">
        <v>1688.0</v>
      </c>
      <c r="F341" s="14">
        <f t="shared" si="3"/>
        <v>1.590604265</v>
      </c>
      <c r="G341" s="14">
        <f t="shared" si="4"/>
        <v>47.38185155</v>
      </c>
      <c r="H341" s="4">
        <v>2684.94</v>
      </c>
      <c r="I341" s="13">
        <f t="shared" si="5"/>
        <v>0.01362559242</v>
      </c>
      <c r="J341" s="3">
        <v>23.0</v>
      </c>
      <c r="K341" s="14">
        <f t="shared" si="6"/>
        <v>193.7534783</v>
      </c>
      <c r="L341" s="4">
        <v>4456.33</v>
      </c>
      <c r="M341" s="15">
        <f t="shared" si="7"/>
        <v>1.659750311</v>
      </c>
    </row>
    <row r="342">
      <c r="A342" s="2">
        <v>45267.0</v>
      </c>
      <c r="B342" s="12">
        <f t="shared" si="1"/>
        <v>12</v>
      </c>
      <c r="C342" s="5">
        <v>71577.0</v>
      </c>
      <c r="D342" s="13">
        <f t="shared" si="2"/>
        <v>0.02078880087</v>
      </c>
      <c r="E342" s="3">
        <v>1488.0</v>
      </c>
      <c r="F342" s="14">
        <f t="shared" si="3"/>
        <v>1.520813172</v>
      </c>
      <c r="G342" s="14">
        <f t="shared" si="4"/>
        <v>31.6158822</v>
      </c>
      <c r="H342" s="4">
        <v>2262.97</v>
      </c>
      <c r="I342" s="13">
        <f t="shared" si="5"/>
        <v>0.02016129032</v>
      </c>
      <c r="J342" s="3">
        <v>30.0</v>
      </c>
      <c r="K342" s="14">
        <f t="shared" si="6"/>
        <v>150.4433333</v>
      </c>
      <c r="L342" s="4">
        <v>4513.3</v>
      </c>
      <c r="M342" s="15">
        <f t="shared" si="7"/>
        <v>1.99441442</v>
      </c>
    </row>
    <row r="343">
      <c r="A343" s="2">
        <v>45268.0</v>
      </c>
      <c r="B343" s="12">
        <f t="shared" si="1"/>
        <v>12</v>
      </c>
      <c r="C343" s="5">
        <v>106918.0</v>
      </c>
      <c r="D343" s="13">
        <f t="shared" si="2"/>
        <v>0.01558203483</v>
      </c>
      <c r="E343" s="3">
        <v>1666.0</v>
      </c>
      <c r="F343" s="14">
        <f t="shared" si="3"/>
        <v>1.992292917</v>
      </c>
      <c r="G343" s="14">
        <f t="shared" si="4"/>
        <v>31.04397763</v>
      </c>
      <c r="H343" s="4">
        <v>3319.16</v>
      </c>
      <c r="I343" s="13">
        <f t="shared" si="5"/>
        <v>0.01920768307</v>
      </c>
      <c r="J343" s="3">
        <v>32.0</v>
      </c>
      <c r="K343" s="14">
        <f t="shared" si="6"/>
        <v>202.276875</v>
      </c>
      <c r="L343" s="4">
        <v>6472.86</v>
      </c>
      <c r="M343" s="15">
        <f t="shared" si="7"/>
        <v>1.950150038</v>
      </c>
    </row>
    <row r="344">
      <c r="A344" s="2">
        <v>45269.0</v>
      </c>
      <c r="B344" s="12">
        <f t="shared" si="1"/>
        <v>12</v>
      </c>
      <c r="C344" s="5">
        <v>71077.0</v>
      </c>
      <c r="D344" s="13">
        <f t="shared" si="2"/>
        <v>0.0230735681</v>
      </c>
      <c r="E344" s="3">
        <v>1640.0</v>
      </c>
      <c r="F344" s="14">
        <f t="shared" si="3"/>
        <v>1.651890244</v>
      </c>
      <c r="G344" s="14">
        <f t="shared" si="4"/>
        <v>38.11500204</v>
      </c>
      <c r="H344" s="4">
        <v>2709.1</v>
      </c>
      <c r="I344" s="13">
        <f t="shared" si="5"/>
        <v>0.02256097561</v>
      </c>
      <c r="J344" s="3">
        <v>37.0</v>
      </c>
      <c r="K344" s="14">
        <f t="shared" si="6"/>
        <v>126.1805405</v>
      </c>
      <c r="L344" s="4">
        <v>4668.68</v>
      </c>
      <c r="M344" s="15">
        <f t="shared" si="7"/>
        <v>1.723332472</v>
      </c>
    </row>
    <row r="345">
      <c r="A345" s="2">
        <v>45270.0</v>
      </c>
      <c r="B345" s="12">
        <f t="shared" si="1"/>
        <v>12</v>
      </c>
      <c r="C345" s="5">
        <v>44348.0</v>
      </c>
      <c r="D345" s="13">
        <f t="shared" si="2"/>
        <v>0.01867051502</v>
      </c>
      <c r="E345" s="3">
        <v>828.0</v>
      </c>
      <c r="F345" s="14">
        <f t="shared" si="3"/>
        <v>1.882958937</v>
      </c>
      <c r="G345" s="14">
        <f t="shared" si="4"/>
        <v>35.15581311</v>
      </c>
      <c r="H345" s="4">
        <v>1559.09</v>
      </c>
      <c r="I345" s="13">
        <f t="shared" si="5"/>
        <v>0.01449275362</v>
      </c>
      <c r="J345" s="3">
        <v>12.0</v>
      </c>
      <c r="K345" s="14">
        <f t="shared" si="6"/>
        <v>126.0541667</v>
      </c>
      <c r="L345" s="4">
        <v>1512.65</v>
      </c>
      <c r="M345" s="15">
        <f t="shared" si="7"/>
        <v>0.9702133937</v>
      </c>
    </row>
    <row r="346">
      <c r="A346" s="2">
        <v>45271.0</v>
      </c>
      <c r="B346" s="12">
        <f t="shared" si="1"/>
        <v>12</v>
      </c>
      <c r="C346" s="5">
        <v>64166.0</v>
      </c>
      <c r="D346" s="13">
        <f t="shared" si="2"/>
        <v>0.01178194059</v>
      </c>
      <c r="E346" s="3">
        <v>756.0</v>
      </c>
      <c r="F346" s="14">
        <f t="shared" si="3"/>
        <v>1.963002646</v>
      </c>
      <c r="G346" s="14">
        <f t="shared" si="4"/>
        <v>23.12798055</v>
      </c>
      <c r="H346" s="4">
        <v>1484.03</v>
      </c>
      <c r="I346" s="13">
        <f t="shared" si="5"/>
        <v>0.0119047619</v>
      </c>
      <c r="J346" s="3">
        <v>9.0</v>
      </c>
      <c r="K346" s="14">
        <f t="shared" si="6"/>
        <v>207.1922222</v>
      </c>
      <c r="L346" s="4">
        <v>1864.73</v>
      </c>
      <c r="M346" s="15">
        <f t="shared" si="7"/>
        <v>1.256531202</v>
      </c>
    </row>
    <row r="347">
      <c r="A347" s="2">
        <v>45272.0</v>
      </c>
      <c r="B347" s="12">
        <f t="shared" si="1"/>
        <v>12</v>
      </c>
      <c r="C347" s="5">
        <v>34386.0</v>
      </c>
      <c r="D347" s="13">
        <f t="shared" si="2"/>
        <v>0.009974989821</v>
      </c>
      <c r="E347" s="3">
        <v>343.0</v>
      </c>
      <c r="F347" s="14">
        <f t="shared" si="3"/>
        <v>1.71425656</v>
      </c>
      <c r="G347" s="14">
        <f t="shared" si="4"/>
        <v>17.09969174</v>
      </c>
      <c r="H347" s="4">
        <v>587.99</v>
      </c>
      <c r="I347" s="13">
        <f t="shared" si="5"/>
        <v>0.01166180758</v>
      </c>
      <c r="J347" s="3">
        <v>4.0</v>
      </c>
      <c r="K347" s="14">
        <f t="shared" si="6"/>
        <v>142.6325</v>
      </c>
      <c r="L347" s="4">
        <v>570.53</v>
      </c>
      <c r="M347" s="15">
        <f t="shared" si="7"/>
        <v>0.9703056174</v>
      </c>
    </row>
    <row r="348">
      <c r="A348" s="2">
        <v>45273.0</v>
      </c>
      <c r="B348" s="12">
        <f t="shared" si="1"/>
        <v>12</v>
      </c>
      <c r="C348" s="5">
        <v>110153.0</v>
      </c>
      <c r="D348" s="13">
        <f t="shared" si="2"/>
        <v>0.02019009923</v>
      </c>
      <c r="E348" s="3">
        <v>2224.0</v>
      </c>
      <c r="F348" s="14">
        <f t="shared" si="3"/>
        <v>1.480723921</v>
      </c>
      <c r="G348" s="14">
        <f t="shared" si="4"/>
        <v>29.89596289</v>
      </c>
      <c r="H348" s="4">
        <v>3293.13</v>
      </c>
      <c r="I348" s="13">
        <f t="shared" si="5"/>
        <v>0.02248201439</v>
      </c>
      <c r="J348" s="3">
        <v>50.0</v>
      </c>
      <c r="K348" s="14">
        <f t="shared" si="6"/>
        <v>120.7422</v>
      </c>
      <c r="L348" s="4">
        <v>6037.11</v>
      </c>
      <c r="M348" s="15">
        <f t="shared" si="7"/>
        <v>1.833243753</v>
      </c>
    </row>
    <row r="349">
      <c r="A349" s="2">
        <v>45274.0</v>
      </c>
      <c r="B349" s="12">
        <f t="shared" si="1"/>
        <v>12</v>
      </c>
      <c r="C349" s="5">
        <v>24831.0</v>
      </c>
      <c r="D349" s="13">
        <f t="shared" si="2"/>
        <v>0.0298417301</v>
      </c>
      <c r="E349" s="3">
        <v>741.0</v>
      </c>
      <c r="F349" s="14">
        <f t="shared" si="3"/>
        <v>1.803481781</v>
      </c>
      <c r="G349" s="14">
        <f t="shared" si="4"/>
        <v>53.81901655</v>
      </c>
      <c r="H349" s="4">
        <v>1336.38</v>
      </c>
      <c r="I349" s="13">
        <f t="shared" si="5"/>
        <v>0.01484480432</v>
      </c>
      <c r="J349" s="3">
        <v>11.0</v>
      </c>
      <c r="K349" s="14">
        <f t="shared" si="6"/>
        <v>198.03</v>
      </c>
      <c r="L349" s="4">
        <v>2178.33</v>
      </c>
      <c r="M349" s="15">
        <f t="shared" si="7"/>
        <v>1.630022898</v>
      </c>
    </row>
    <row r="350">
      <c r="A350" s="2">
        <v>45275.0</v>
      </c>
      <c r="B350" s="12">
        <f t="shared" si="1"/>
        <v>12</v>
      </c>
      <c r="C350" s="5">
        <v>108166.0</v>
      </c>
      <c r="D350" s="13">
        <f t="shared" si="2"/>
        <v>0.02779061812</v>
      </c>
      <c r="E350" s="3">
        <v>3006.0</v>
      </c>
      <c r="F350" s="14">
        <f t="shared" si="3"/>
        <v>1.640552229</v>
      </c>
      <c r="G350" s="14">
        <f t="shared" si="4"/>
        <v>45.59196051</v>
      </c>
      <c r="H350" s="4">
        <v>4931.5</v>
      </c>
      <c r="I350" s="13">
        <f t="shared" si="5"/>
        <v>0.01962741184</v>
      </c>
      <c r="J350" s="3">
        <v>59.0</v>
      </c>
      <c r="K350" s="14">
        <f t="shared" si="6"/>
        <v>103.9713559</v>
      </c>
      <c r="L350" s="4">
        <v>6134.31</v>
      </c>
      <c r="M350" s="15">
        <f t="shared" si="7"/>
        <v>1.243903478</v>
      </c>
    </row>
    <row r="351">
      <c r="A351" s="2">
        <v>45276.0</v>
      </c>
      <c r="B351" s="12">
        <f t="shared" si="1"/>
        <v>12</v>
      </c>
      <c r="C351" s="5">
        <v>91150.0</v>
      </c>
      <c r="D351" s="13">
        <f t="shared" si="2"/>
        <v>0.02729566648</v>
      </c>
      <c r="E351" s="3">
        <v>2488.0</v>
      </c>
      <c r="F351" s="14">
        <f t="shared" si="3"/>
        <v>1.250196945</v>
      </c>
      <c r="G351" s="14">
        <f t="shared" si="4"/>
        <v>34.12495886</v>
      </c>
      <c r="H351" s="4">
        <v>3110.49</v>
      </c>
      <c r="I351" s="13">
        <f t="shared" si="5"/>
        <v>0.02170418006</v>
      </c>
      <c r="J351" s="3">
        <v>54.0</v>
      </c>
      <c r="K351" s="14">
        <f t="shared" si="6"/>
        <v>200.9148148</v>
      </c>
      <c r="L351" s="4">
        <v>10849.4</v>
      </c>
      <c r="M351" s="15">
        <f t="shared" si="7"/>
        <v>3.488003498</v>
      </c>
    </row>
    <row r="352">
      <c r="A352" s="2">
        <v>45277.0</v>
      </c>
      <c r="B352" s="12">
        <f t="shared" si="1"/>
        <v>12</v>
      </c>
      <c r="C352" s="5">
        <v>46523.0</v>
      </c>
      <c r="D352" s="13">
        <f t="shared" si="2"/>
        <v>0.01446596307</v>
      </c>
      <c r="E352" s="3">
        <v>673.0</v>
      </c>
      <c r="F352" s="14">
        <f t="shared" si="3"/>
        <v>1.513551263</v>
      </c>
      <c r="G352" s="14">
        <f t="shared" si="4"/>
        <v>21.89497668</v>
      </c>
      <c r="H352" s="4">
        <v>1018.62</v>
      </c>
      <c r="I352" s="13">
        <f t="shared" si="5"/>
        <v>0.01337295691</v>
      </c>
      <c r="J352" s="3">
        <v>9.0</v>
      </c>
      <c r="K352" s="14">
        <f t="shared" si="6"/>
        <v>186.6344444</v>
      </c>
      <c r="L352" s="4">
        <v>1679.71</v>
      </c>
      <c r="M352" s="15">
        <f t="shared" si="7"/>
        <v>1.649005517</v>
      </c>
    </row>
    <row r="353">
      <c r="A353" s="2">
        <v>45278.0</v>
      </c>
      <c r="B353" s="12">
        <f t="shared" si="1"/>
        <v>12</v>
      </c>
      <c r="C353" s="5">
        <v>98159.0</v>
      </c>
      <c r="D353" s="13">
        <f t="shared" si="2"/>
        <v>0.01678908709</v>
      </c>
      <c r="E353" s="3">
        <v>1648.0</v>
      </c>
      <c r="F353" s="14">
        <f t="shared" si="3"/>
        <v>1.651074029</v>
      </c>
      <c r="G353" s="14">
        <f t="shared" si="4"/>
        <v>27.72002567</v>
      </c>
      <c r="H353" s="4">
        <v>2720.97</v>
      </c>
      <c r="I353" s="13">
        <f t="shared" si="5"/>
        <v>0.01941747573</v>
      </c>
      <c r="J353" s="3">
        <v>32.0</v>
      </c>
      <c r="K353" s="14">
        <f t="shared" si="6"/>
        <v>174.018125</v>
      </c>
      <c r="L353" s="4">
        <v>5568.58</v>
      </c>
      <c r="M353" s="15">
        <f t="shared" si="7"/>
        <v>2.046542226</v>
      </c>
    </row>
    <row r="354">
      <c r="A354" s="2">
        <v>45279.0</v>
      </c>
      <c r="B354" s="12">
        <f t="shared" si="1"/>
        <v>12</v>
      </c>
      <c r="C354" s="5">
        <v>83588.0</v>
      </c>
      <c r="D354" s="13">
        <f t="shared" si="2"/>
        <v>0.02928650045</v>
      </c>
      <c r="E354" s="3">
        <v>2448.0</v>
      </c>
      <c r="F354" s="14">
        <f t="shared" si="3"/>
        <v>1.590731209</v>
      </c>
      <c r="G354" s="14">
        <f t="shared" si="4"/>
        <v>46.58695028</v>
      </c>
      <c r="H354" s="4">
        <v>3894.11</v>
      </c>
      <c r="I354" s="13">
        <f t="shared" si="5"/>
        <v>0.01470588235</v>
      </c>
      <c r="J354" s="3">
        <v>36.0</v>
      </c>
      <c r="K354" s="14">
        <f t="shared" si="6"/>
        <v>143.6411111</v>
      </c>
      <c r="L354" s="4">
        <v>5171.08</v>
      </c>
      <c r="M354" s="15">
        <f t="shared" si="7"/>
        <v>1.327923454</v>
      </c>
    </row>
    <row r="355">
      <c r="A355" s="2">
        <v>45280.0</v>
      </c>
      <c r="B355" s="12">
        <f t="shared" si="1"/>
        <v>12</v>
      </c>
      <c r="C355" s="5">
        <v>104190.0</v>
      </c>
      <c r="D355" s="13">
        <f t="shared" si="2"/>
        <v>0.02609655437</v>
      </c>
      <c r="E355" s="3">
        <v>2719.0</v>
      </c>
      <c r="F355" s="14">
        <f t="shared" si="3"/>
        <v>1.310172858</v>
      </c>
      <c r="G355" s="14">
        <f t="shared" si="4"/>
        <v>34.19099722</v>
      </c>
      <c r="H355" s="4">
        <v>3562.36</v>
      </c>
      <c r="I355" s="13">
        <f t="shared" si="5"/>
        <v>0.01250459728</v>
      </c>
      <c r="J355" s="3">
        <v>34.0</v>
      </c>
      <c r="K355" s="14">
        <f t="shared" si="6"/>
        <v>170.5197059</v>
      </c>
      <c r="L355" s="4">
        <v>5797.67</v>
      </c>
      <c r="M355" s="15">
        <f t="shared" si="7"/>
        <v>1.627480097</v>
      </c>
    </row>
    <row r="356">
      <c r="A356" s="2">
        <v>45281.0</v>
      </c>
      <c r="B356" s="12">
        <f t="shared" si="1"/>
        <v>12</v>
      </c>
      <c r="C356" s="5">
        <v>24959.0</v>
      </c>
      <c r="D356" s="13">
        <f t="shared" si="2"/>
        <v>0.01097800393</v>
      </c>
      <c r="E356" s="3">
        <v>274.0</v>
      </c>
      <c r="F356" s="14">
        <f t="shared" si="3"/>
        <v>1.392773723</v>
      </c>
      <c r="G356" s="14">
        <f t="shared" si="4"/>
        <v>15.2898754</v>
      </c>
      <c r="H356" s="4">
        <v>381.62</v>
      </c>
      <c r="I356" s="13">
        <f t="shared" si="5"/>
        <v>0.01459854015</v>
      </c>
      <c r="J356" s="3">
        <v>4.0</v>
      </c>
      <c r="K356" s="14">
        <f t="shared" si="6"/>
        <v>208.2175</v>
      </c>
      <c r="L356" s="4">
        <v>832.87</v>
      </c>
      <c r="M356" s="15">
        <f t="shared" si="7"/>
        <v>2.182458991</v>
      </c>
    </row>
    <row r="357">
      <c r="A357" s="2">
        <v>45282.0</v>
      </c>
      <c r="B357" s="12">
        <f t="shared" si="1"/>
        <v>12</v>
      </c>
      <c r="C357" s="5">
        <v>67027.0</v>
      </c>
      <c r="D357" s="13">
        <f t="shared" si="2"/>
        <v>0.01578468378</v>
      </c>
      <c r="E357" s="3">
        <v>1058.0</v>
      </c>
      <c r="F357" s="14">
        <f t="shared" si="3"/>
        <v>1.241200378</v>
      </c>
      <c r="G357" s="14">
        <f t="shared" si="4"/>
        <v>19.59195548</v>
      </c>
      <c r="H357" s="4">
        <v>1313.19</v>
      </c>
      <c r="I357" s="13">
        <f t="shared" si="5"/>
        <v>0.01417769376</v>
      </c>
      <c r="J357" s="3">
        <v>15.0</v>
      </c>
      <c r="K357" s="14">
        <f t="shared" si="6"/>
        <v>120.6866667</v>
      </c>
      <c r="L357" s="4">
        <v>1810.3</v>
      </c>
      <c r="M357" s="15">
        <f t="shared" si="7"/>
        <v>1.378551466</v>
      </c>
    </row>
    <row r="358">
      <c r="A358" s="2">
        <v>45283.0</v>
      </c>
      <c r="B358" s="12">
        <f t="shared" si="1"/>
        <v>12</v>
      </c>
      <c r="C358" s="5">
        <v>70871.0</v>
      </c>
      <c r="D358" s="13">
        <f t="shared" si="2"/>
        <v>0.01068137884</v>
      </c>
      <c r="E358" s="3">
        <v>757.0</v>
      </c>
      <c r="F358" s="14">
        <f t="shared" si="3"/>
        <v>1.512628798</v>
      </c>
      <c r="G358" s="14">
        <f t="shared" si="4"/>
        <v>16.15696124</v>
      </c>
      <c r="H358" s="4">
        <v>1145.06</v>
      </c>
      <c r="I358" s="13">
        <f t="shared" si="5"/>
        <v>0.02245706737</v>
      </c>
      <c r="J358" s="3">
        <v>17.0</v>
      </c>
      <c r="K358" s="14">
        <f t="shared" si="6"/>
        <v>184.5923529</v>
      </c>
      <c r="L358" s="4">
        <v>3138.07</v>
      </c>
      <c r="M358" s="15">
        <f t="shared" si="7"/>
        <v>2.740528881</v>
      </c>
    </row>
    <row r="359">
      <c r="A359" s="2">
        <v>45284.0</v>
      </c>
      <c r="B359" s="12">
        <f t="shared" si="1"/>
        <v>12</v>
      </c>
      <c r="C359" s="5">
        <v>80032.0</v>
      </c>
      <c r="D359" s="13">
        <f t="shared" si="2"/>
        <v>0.02159136345</v>
      </c>
      <c r="E359" s="3">
        <v>1728.0</v>
      </c>
      <c r="F359" s="14">
        <f t="shared" si="3"/>
        <v>1.310520833</v>
      </c>
      <c r="G359" s="14">
        <f t="shared" si="4"/>
        <v>28.29593163</v>
      </c>
      <c r="H359" s="4">
        <v>2264.58</v>
      </c>
      <c r="I359" s="13">
        <f t="shared" si="5"/>
        <v>0.01793981481</v>
      </c>
      <c r="J359" s="3">
        <v>31.0</v>
      </c>
      <c r="K359" s="14">
        <f t="shared" si="6"/>
        <v>135.5625806</v>
      </c>
      <c r="L359" s="4">
        <v>4202.44</v>
      </c>
      <c r="M359" s="15">
        <f t="shared" si="7"/>
        <v>1.855726007</v>
      </c>
    </row>
    <row r="360">
      <c r="A360" s="2">
        <v>45285.0</v>
      </c>
      <c r="B360" s="12">
        <f t="shared" si="1"/>
        <v>12</v>
      </c>
      <c r="C360" s="5">
        <v>108915.0</v>
      </c>
      <c r="D360" s="13">
        <f t="shared" si="2"/>
        <v>0.01209199835</v>
      </c>
      <c r="E360" s="3">
        <v>1317.0</v>
      </c>
      <c r="F360" s="14">
        <f t="shared" si="3"/>
        <v>1.090721336</v>
      </c>
      <c r="G360" s="14">
        <f t="shared" si="4"/>
        <v>13.1890006</v>
      </c>
      <c r="H360" s="4">
        <v>1436.48</v>
      </c>
      <c r="I360" s="13">
        <f t="shared" si="5"/>
        <v>0.01746393318</v>
      </c>
      <c r="J360" s="3">
        <v>23.0</v>
      </c>
      <c r="K360" s="14">
        <f t="shared" si="6"/>
        <v>127.563913</v>
      </c>
      <c r="L360" s="4">
        <v>2933.97</v>
      </c>
      <c r="M360" s="15">
        <f t="shared" si="7"/>
        <v>2.042471876</v>
      </c>
    </row>
    <row r="361">
      <c r="A361" s="2">
        <v>45286.0</v>
      </c>
      <c r="B361" s="12">
        <f t="shared" si="1"/>
        <v>12</v>
      </c>
      <c r="C361" s="5">
        <v>31756.0</v>
      </c>
      <c r="D361" s="13">
        <f t="shared" si="2"/>
        <v>0.01807532435</v>
      </c>
      <c r="E361" s="3">
        <v>574.0</v>
      </c>
      <c r="F361" s="14">
        <f t="shared" si="3"/>
        <v>1.211637631</v>
      </c>
      <c r="G361" s="14">
        <f t="shared" si="4"/>
        <v>21.90074317</v>
      </c>
      <c r="H361" s="4">
        <v>695.48</v>
      </c>
      <c r="I361" s="13">
        <f t="shared" si="5"/>
        <v>0.01393728223</v>
      </c>
      <c r="J361" s="3">
        <v>8.0</v>
      </c>
      <c r="K361" s="14">
        <f t="shared" si="6"/>
        <v>181.99</v>
      </c>
      <c r="L361" s="4">
        <v>1455.92</v>
      </c>
      <c r="M361" s="15">
        <f t="shared" si="7"/>
        <v>2.093403117</v>
      </c>
    </row>
    <row r="362">
      <c r="A362" s="2">
        <v>45287.0</v>
      </c>
      <c r="B362" s="12">
        <f t="shared" si="1"/>
        <v>12</v>
      </c>
      <c r="C362" s="5">
        <v>95173.0</v>
      </c>
      <c r="D362" s="13">
        <f t="shared" si="2"/>
        <v>0.02259044057</v>
      </c>
      <c r="E362" s="3">
        <v>2150.0</v>
      </c>
      <c r="F362" s="14">
        <f t="shared" si="3"/>
        <v>1.170493023</v>
      </c>
      <c r="G362" s="14">
        <f t="shared" si="4"/>
        <v>26.44195307</v>
      </c>
      <c r="H362" s="4">
        <v>2516.56</v>
      </c>
      <c r="I362" s="13">
        <f t="shared" si="5"/>
        <v>0.01348837209</v>
      </c>
      <c r="J362" s="3">
        <v>29.0</v>
      </c>
      <c r="K362" s="14">
        <f t="shared" si="6"/>
        <v>159.0931034</v>
      </c>
      <c r="L362" s="4">
        <v>4613.7</v>
      </c>
      <c r="M362" s="15">
        <f t="shared" si="7"/>
        <v>1.833335982</v>
      </c>
    </row>
    <row r="363">
      <c r="A363" s="2">
        <v>45288.0</v>
      </c>
      <c r="B363" s="12">
        <f t="shared" si="1"/>
        <v>12</v>
      </c>
      <c r="C363" s="5">
        <v>100035.0</v>
      </c>
      <c r="D363" s="13">
        <f t="shared" si="2"/>
        <v>0.0228919878</v>
      </c>
      <c r="E363" s="3">
        <v>2290.0</v>
      </c>
      <c r="F363" s="14">
        <f t="shared" si="3"/>
        <v>1.70058952</v>
      </c>
      <c r="G363" s="14">
        <f t="shared" si="4"/>
        <v>38.92987454</v>
      </c>
      <c r="H363" s="4">
        <v>3894.35</v>
      </c>
      <c r="I363" s="13">
        <f t="shared" si="5"/>
        <v>0.01703056769</v>
      </c>
      <c r="J363" s="3">
        <v>39.0</v>
      </c>
      <c r="K363" s="14">
        <f t="shared" si="6"/>
        <v>163.4397436</v>
      </c>
      <c r="L363" s="4">
        <v>6374.15</v>
      </c>
      <c r="M363" s="15">
        <f t="shared" si="7"/>
        <v>1.636768652</v>
      </c>
    </row>
    <row r="364">
      <c r="A364" s="2">
        <v>45289.0</v>
      </c>
      <c r="B364" s="12">
        <f t="shared" si="1"/>
        <v>12</v>
      </c>
      <c r="C364" s="5">
        <v>59646.0</v>
      </c>
      <c r="D364" s="13">
        <f t="shared" si="2"/>
        <v>0.01788887771</v>
      </c>
      <c r="E364" s="3">
        <v>1067.0</v>
      </c>
      <c r="F364" s="14">
        <f t="shared" si="3"/>
        <v>1.090674789</v>
      </c>
      <c r="G364" s="14">
        <f t="shared" si="4"/>
        <v>19.51094793</v>
      </c>
      <c r="H364" s="4">
        <v>1163.75</v>
      </c>
      <c r="I364" s="13">
        <f t="shared" si="5"/>
        <v>0.01312089972</v>
      </c>
      <c r="J364" s="3">
        <v>14.0</v>
      </c>
      <c r="K364" s="14">
        <f t="shared" si="6"/>
        <v>110.4571429</v>
      </c>
      <c r="L364" s="4">
        <v>1546.4</v>
      </c>
      <c r="M364" s="15">
        <f t="shared" si="7"/>
        <v>1.328807734</v>
      </c>
    </row>
    <row r="365">
      <c r="A365" s="2">
        <v>45290.0</v>
      </c>
      <c r="B365" s="12">
        <f t="shared" si="1"/>
        <v>12</v>
      </c>
      <c r="C365" s="5">
        <v>47837.0</v>
      </c>
      <c r="D365" s="13">
        <f t="shared" si="2"/>
        <v>0.0243744382</v>
      </c>
      <c r="E365" s="3">
        <v>1166.0</v>
      </c>
      <c r="F365" s="14">
        <f t="shared" si="3"/>
        <v>1.501569468</v>
      </c>
      <c r="G365" s="14">
        <f t="shared" si="4"/>
        <v>36.5999122</v>
      </c>
      <c r="H365" s="4">
        <v>1750.83</v>
      </c>
      <c r="I365" s="13">
        <f t="shared" si="5"/>
        <v>0.0180102916</v>
      </c>
      <c r="J365" s="3">
        <v>21.0</v>
      </c>
      <c r="K365" s="14">
        <f t="shared" si="6"/>
        <v>183.8371429</v>
      </c>
      <c r="L365" s="4">
        <v>3860.58</v>
      </c>
      <c r="M365" s="15">
        <f t="shared" si="7"/>
        <v>2.204999914</v>
      </c>
    </row>
    <row r="366">
      <c r="A366" s="2">
        <v>45291.0</v>
      </c>
      <c r="B366" s="12">
        <f t="shared" si="1"/>
        <v>12</v>
      </c>
      <c r="C366" s="5">
        <v>88825.0</v>
      </c>
      <c r="D366" s="13">
        <f t="shared" si="2"/>
        <v>0.02458767239</v>
      </c>
      <c r="E366" s="3">
        <v>2184.0</v>
      </c>
      <c r="F366" s="14">
        <f t="shared" si="3"/>
        <v>1.110549451</v>
      </c>
      <c r="G366" s="14">
        <f t="shared" si="4"/>
        <v>27.30582606</v>
      </c>
      <c r="H366" s="4">
        <v>2425.44</v>
      </c>
      <c r="I366" s="13">
        <f t="shared" si="5"/>
        <v>0.0173992674</v>
      </c>
      <c r="J366" s="3">
        <v>38.0</v>
      </c>
      <c r="K366" s="14">
        <f t="shared" si="6"/>
        <v>152.6689474</v>
      </c>
      <c r="L366" s="4">
        <v>5801.42</v>
      </c>
      <c r="M366" s="15">
        <f t="shared" si="7"/>
        <v>2.391904149</v>
      </c>
    </row>
    <row r="367">
      <c r="D367" s="13"/>
      <c r="I367" s="13"/>
      <c r="M367" s="15"/>
    </row>
    <row r="368">
      <c r="D368" s="13"/>
      <c r="I368" s="13"/>
      <c r="M368" s="15"/>
    </row>
    <row r="369">
      <c r="D369" s="13"/>
      <c r="I369" s="13"/>
      <c r="M369" s="15"/>
    </row>
    <row r="370">
      <c r="D370" s="13"/>
      <c r="I370" s="13"/>
      <c r="M370" s="15"/>
    </row>
    <row r="371">
      <c r="D371" s="13"/>
      <c r="I371" s="13"/>
      <c r="M371" s="15"/>
    </row>
    <row r="372">
      <c r="D372" s="13"/>
      <c r="I372" s="13"/>
      <c r="M372" s="15"/>
    </row>
    <row r="373">
      <c r="D373" s="13"/>
      <c r="I373" s="13"/>
      <c r="M373" s="15"/>
    </row>
    <row r="374">
      <c r="D374" s="13"/>
      <c r="I374" s="13"/>
      <c r="M374" s="15"/>
    </row>
    <row r="375">
      <c r="D375" s="13"/>
      <c r="I375" s="13"/>
      <c r="M375" s="15"/>
    </row>
    <row r="376">
      <c r="D376" s="13"/>
      <c r="I376" s="13"/>
      <c r="M376" s="15"/>
    </row>
    <row r="377">
      <c r="D377" s="13"/>
      <c r="I377" s="13"/>
      <c r="M377" s="15"/>
    </row>
    <row r="378">
      <c r="D378" s="13"/>
      <c r="I378" s="13"/>
      <c r="M378" s="15"/>
    </row>
    <row r="379">
      <c r="D379" s="13"/>
      <c r="I379" s="13"/>
      <c r="M379" s="15"/>
    </row>
    <row r="380">
      <c r="D380" s="13"/>
      <c r="I380" s="13"/>
      <c r="M380" s="15"/>
    </row>
    <row r="381">
      <c r="D381" s="13"/>
      <c r="I381" s="13"/>
      <c r="M381" s="15"/>
    </row>
    <row r="382">
      <c r="D382" s="13"/>
      <c r="I382" s="13"/>
      <c r="M382" s="15"/>
    </row>
    <row r="383">
      <c r="D383" s="13"/>
      <c r="I383" s="13"/>
      <c r="M383" s="15"/>
    </row>
    <row r="384">
      <c r="D384" s="13"/>
      <c r="I384" s="13"/>
      <c r="M384" s="15"/>
    </row>
    <row r="385">
      <c r="D385" s="13"/>
      <c r="I385" s="13"/>
      <c r="M385" s="15"/>
    </row>
    <row r="386">
      <c r="D386" s="13"/>
      <c r="I386" s="13"/>
      <c r="M386" s="15"/>
    </row>
    <row r="387">
      <c r="D387" s="13"/>
      <c r="I387" s="13"/>
      <c r="M387" s="15"/>
    </row>
    <row r="388">
      <c r="D388" s="13"/>
      <c r="I388" s="13"/>
      <c r="M388" s="15"/>
    </row>
    <row r="389">
      <c r="D389" s="13"/>
      <c r="I389" s="13"/>
      <c r="M389" s="15"/>
    </row>
    <row r="390">
      <c r="D390" s="13"/>
      <c r="I390" s="13"/>
      <c r="M390" s="15"/>
    </row>
    <row r="391">
      <c r="D391" s="13"/>
      <c r="I391" s="13"/>
      <c r="M391" s="15"/>
    </row>
    <row r="392">
      <c r="D392" s="13"/>
      <c r="I392" s="13"/>
      <c r="M392" s="15"/>
    </row>
    <row r="393">
      <c r="D393" s="13"/>
      <c r="I393" s="13"/>
      <c r="M393" s="15"/>
    </row>
    <row r="394">
      <c r="D394" s="13"/>
      <c r="I394" s="13"/>
      <c r="M394" s="15"/>
    </row>
    <row r="395">
      <c r="D395" s="13"/>
      <c r="I395" s="13"/>
      <c r="M395" s="15"/>
    </row>
    <row r="396">
      <c r="D396" s="13"/>
      <c r="I396" s="13"/>
      <c r="M396" s="15"/>
    </row>
    <row r="397">
      <c r="D397" s="13"/>
      <c r="I397" s="13"/>
      <c r="M397" s="15"/>
    </row>
    <row r="398">
      <c r="D398" s="13"/>
      <c r="I398" s="13"/>
      <c r="M398" s="15"/>
    </row>
    <row r="399">
      <c r="D399" s="13"/>
      <c r="I399" s="13"/>
      <c r="M399" s="15"/>
    </row>
    <row r="400">
      <c r="D400" s="13"/>
      <c r="I400" s="13"/>
      <c r="M400" s="15"/>
    </row>
    <row r="401">
      <c r="D401" s="13"/>
      <c r="I401" s="13"/>
      <c r="M401" s="15"/>
    </row>
    <row r="402">
      <c r="D402" s="13"/>
      <c r="I402" s="13"/>
      <c r="M402" s="15"/>
    </row>
    <row r="403">
      <c r="D403" s="13"/>
      <c r="I403" s="13"/>
      <c r="M403" s="15"/>
    </row>
    <row r="404">
      <c r="D404" s="13"/>
      <c r="I404" s="13"/>
      <c r="M404" s="15"/>
    </row>
    <row r="405">
      <c r="D405" s="13"/>
      <c r="I405" s="13"/>
      <c r="M405" s="15"/>
    </row>
    <row r="406">
      <c r="D406" s="13"/>
      <c r="I406" s="13"/>
      <c r="M406" s="15"/>
    </row>
    <row r="407">
      <c r="D407" s="13"/>
      <c r="I407" s="13"/>
      <c r="M407" s="15"/>
    </row>
    <row r="408">
      <c r="D408" s="13"/>
      <c r="I408" s="13"/>
      <c r="M408" s="15"/>
    </row>
    <row r="409">
      <c r="D409" s="13"/>
      <c r="I409" s="13"/>
      <c r="M409" s="15"/>
    </row>
    <row r="410">
      <c r="D410" s="13"/>
      <c r="I410" s="13"/>
      <c r="M410" s="15"/>
    </row>
    <row r="411">
      <c r="D411" s="13"/>
      <c r="I411" s="13"/>
      <c r="M411" s="15"/>
    </row>
    <row r="412">
      <c r="D412" s="13"/>
      <c r="I412" s="13"/>
      <c r="M412" s="15"/>
    </row>
    <row r="413">
      <c r="D413" s="13"/>
      <c r="I413" s="13"/>
      <c r="M413" s="15"/>
    </row>
    <row r="414">
      <c r="D414" s="13"/>
      <c r="I414" s="13"/>
      <c r="M414" s="15"/>
    </row>
    <row r="415">
      <c r="D415" s="13"/>
      <c r="I415" s="13"/>
      <c r="M415" s="15"/>
    </row>
    <row r="416">
      <c r="D416" s="13"/>
      <c r="I416" s="13"/>
      <c r="M416" s="15"/>
    </row>
    <row r="417">
      <c r="D417" s="13"/>
      <c r="I417" s="13"/>
      <c r="M417" s="15"/>
    </row>
    <row r="418">
      <c r="D418" s="13"/>
      <c r="I418" s="13"/>
      <c r="M418" s="15"/>
    </row>
    <row r="419">
      <c r="D419" s="13"/>
      <c r="I419" s="13"/>
      <c r="M419" s="15"/>
    </row>
    <row r="420">
      <c r="D420" s="13"/>
      <c r="I420" s="13"/>
      <c r="M420" s="15"/>
    </row>
    <row r="421">
      <c r="D421" s="13"/>
      <c r="I421" s="13"/>
      <c r="M421" s="15"/>
    </row>
    <row r="422">
      <c r="D422" s="13"/>
      <c r="I422" s="13"/>
      <c r="M422" s="15"/>
    </row>
    <row r="423">
      <c r="D423" s="13"/>
      <c r="I423" s="13"/>
      <c r="M423" s="15"/>
    </row>
    <row r="424">
      <c r="D424" s="13"/>
      <c r="I424" s="13"/>
      <c r="M424" s="15"/>
    </row>
    <row r="425">
      <c r="D425" s="13"/>
      <c r="I425" s="13"/>
      <c r="M425" s="15"/>
    </row>
    <row r="426">
      <c r="D426" s="13"/>
      <c r="I426" s="13"/>
      <c r="M426" s="15"/>
    </row>
    <row r="427">
      <c r="D427" s="13"/>
      <c r="I427" s="13"/>
      <c r="M427" s="15"/>
    </row>
    <row r="428">
      <c r="D428" s="13"/>
      <c r="I428" s="13"/>
      <c r="M428" s="15"/>
    </row>
    <row r="429">
      <c r="D429" s="13"/>
      <c r="I429" s="13"/>
      <c r="M429" s="15"/>
    </row>
    <row r="430">
      <c r="D430" s="13"/>
      <c r="I430" s="13"/>
      <c r="M430" s="15"/>
    </row>
    <row r="431">
      <c r="D431" s="13"/>
      <c r="I431" s="13"/>
      <c r="M431" s="15"/>
    </row>
    <row r="432">
      <c r="D432" s="13"/>
      <c r="I432" s="13"/>
      <c r="M432" s="15"/>
    </row>
    <row r="433">
      <c r="D433" s="13"/>
      <c r="I433" s="13"/>
      <c r="M433" s="15"/>
    </row>
    <row r="434">
      <c r="D434" s="13"/>
      <c r="I434" s="13"/>
      <c r="M434" s="15"/>
    </row>
    <row r="435">
      <c r="D435" s="13"/>
      <c r="I435" s="13"/>
      <c r="M435" s="15"/>
    </row>
    <row r="436">
      <c r="D436" s="13"/>
      <c r="I436" s="13"/>
      <c r="M436" s="15"/>
    </row>
    <row r="437">
      <c r="D437" s="13"/>
      <c r="I437" s="13"/>
      <c r="M437" s="15"/>
    </row>
    <row r="438">
      <c r="D438" s="13"/>
      <c r="I438" s="13"/>
      <c r="M438" s="15"/>
    </row>
    <row r="439">
      <c r="D439" s="13"/>
      <c r="I439" s="13"/>
      <c r="M439" s="15"/>
    </row>
    <row r="440">
      <c r="D440" s="13"/>
      <c r="I440" s="13"/>
      <c r="M440" s="15"/>
    </row>
    <row r="441">
      <c r="D441" s="13"/>
      <c r="I441" s="13"/>
      <c r="M441" s="15"/>
    </row>
    <row r="442">
      <c r="D442" s="13"/>
      <c r="I442" s="13"/>
      <c r="M442" s="15"/>
    </row>
    <row r="443">
      <c r="D443" s="13"/>
      <c r="I443" s="13"/>
      <c r="M443" s="15"/>
    </row>
    <row r="444">
      <c r="D444" s="13"/>
      <c r="I444" s="13"/>
      <c r="M444" s="15"/>
    </row>
    <row r="445">
      <c r="D445" s="13"/>
      <c r="I445" s="13"/>
      <c r="M445" s="15"/>
    </row>
    <row r="446">
      <c r="D446" s="13"/>
      <c r="I446" s="13"/>
      <c r="M446" s="15"/>
    </row>
    <row r="447">
      <c r="D447" s="13"/>
      <c r="I447" s="13"/>
      <c r="M447" s="15"/>
    </row>
    <row r="448">
      <c r="D448" s="13"/>
      <c r="I448" s="13"/>
      <c r="M448" s="15"/>
    </row>
    <row r="449">
      <c r="D449" s="13"/>
      <c r="I449" s="13"/>
      <c r="M449" s="15"/>
    </row>
    <row r="450">
      <c r="D450" s="13"/>
      <c r="I450" s="13"/>
      <c r="M450" s="15"/>
    </row>
    <row r="451">
      <c r="D451" s="13"/>
      <c r="I451" s="13"/>
      <c r="M451" s="15"/>
    </row>
    <row r="452">
      <c r="D452" s="13"/>
      <c r="I452" s="13"/>
      <c r="M452" s="15"/>
    </row>
    <row r="453">
      <c r="D453" s="13"/>
      <c r="I453" s="13"/>
      <c r="M453" s="15"/>
    </row>
    <row r="454">
      <c r="D454" s="13"/>
      <c r="I454" s="13"/>
      <c r="M454" s="15"/>
    </row>
    <row r="455">
      <c r="D455" s="13"/>
      <c r="I455" s="13"/>
      <c r="M455" s="15"/>
    </row>
    <row r="456">
      <c r="D456" s="13"/>
      <c r="I456" s="13"/>
      <c r="M456" s="15"/>
    </row>
    <row r="457">
      <c r="D457" s="13"/>
      <c r="I457" s="13"/>
      <c r="M457" s="15"/>
    </row>
    <row r="458">
      <c r="D458" s="13"/>
      <c r="I458" s="13"/>
      <c r="M458" s="15"/>
    </row>
    <row r="459">
      <c r="D459" s="13"/>
      <c r="I459" s="13"/>
      <c r="M459" s="15"/>
    </row>
    <row r="460">
      <c r="D460" s="13"/>
      <c r="I460" s="13"/>
      <c r="M460" s="15"/>
    </row>
    <row r="461">
      <c r="D461" s="13"/>
      <c r="I461" s="13"/>
      <c r="M461" s="15"/>
    </row>
    <row r="462">
      <c r="D462" s="13"/>
      <c r="I462" s="13"/>
      <c r="M462" s="15"/>
    </row>
    <row r="463">
      <c r="D463" s="13"/>
      <c r="I463" s="13"/>
      <c r="M463" s="15"/>
    </row>
    <row r="464">
      <c r="D464" s="13"/>
      <c r="I464" s="13"/>
      <c r="M464" s="15"/>
    </row>
    <row r="465">
      <c r="D465" s="13"/>
      <c r="I465" s="13"/>
      <c r="M465" s="15"/>
    </row>
    <row r="466">
      <c r="D466" s="13"/>
      <c r="I466" s="13"/>
      <c r="M466" s="15"/>
    </row>
    <row r="467">
      <c r="D467" s="13"/>
      <c r="I467" s="13"/>
      <c r="M467" s="15"/>
    </row>
    <row r="468">
      <c r="D468" s="13"/>
      <c r="I468" s="13"/>
      <c r="M468" s="15"/>
    </row>
    <row r="469">
      <c r="D469" s="13"/>
      <c r="I469" s="13"/>
      <c r="M469" s="15"/>
    </row>
    <row r="470">
      <c r="D470" s="13"/>
      <c r="I470" s="13"/>
      <c r="M470" s="15"/>
    </row>
    <row r="471">
      <c r="D471" s="13"/>
      <c r="I471" s="13"/>
      <c r="M471" s="15"/>
    </row>
    <row r="472">
      <c r="D472" s="13"/>
      <c r="I472" s="13"/>
      <c r="M472" s="15"/>
    </row>
    <row r="473">
      <c r="D473" s="13"/>
      <c r="I473" s="13"/>
      <c r="M473" s="15"/>
    </row>
    <row r="474">
      <c r="D474" s="13"/>
      <c r="I474" s="13"/>
      <c r="M474" s="15"/>
    </row>
    <row r="475">
      <c r="D475" s="13"/>
      <c r="I475" s="13"/>
      <c r="M475" s="15"/>
    </row>
    <row r="476">
      <c r="D476" s="13"/>
      <c r="I476" s="13"/>
      <c r="M476" s="15"/>
    </row>
    <row r="477">
      <c r="D477" s="13"/>
      <c r="I477" s="13"/>
      <c r="M477" s="15"/>
    </row>
    <row r="478">
      <c r="D478" s="13"/>
      <c r="I478" s="13"/>
      <c r="M478" s="15"/>
    </row>
    <row r="479">
      <c r="D479" s="13"/>
      <c r="I479" s="13"/>
      <c r="M479" s="15"/>
    </row>
    <row r="480">
      <c r="D480" s="13"/>
      <c r="I480" s="13"/>
      <c r="M480" s="15"/>
    </row>
    <row r="481">
      <c r="D481" s="13"/>
      <c r="I481" s="13"/>
      <c r="M481" s="15"/>
    </row>
    <row r="482">
      <c r="D482" s="13"/>
      <c r="I482" s="13"/>
      <c r="M482" s="15"/>
    </row>
    <row r="483">
      <c r="D483" s="13"/>
      <c r="I483" s="13"/>
      <c r="M483" s="15"/>
    </row>
    <row r="484">
      <c r="D484" s="13"/>
      <c r="I484" s="13"/>
      <c r="M484" s="15"/>
    </row>
    <row r="485">
      <c r="D485" s="13"/>
      <c r="I485" s="13"/>
      <c r="M485" s="15"/>
    </row>
    <row r="486">
      <c r="D486" s="13"/>
      <c r="I486" s="13"/>
      <c r="M486" s="15"/>
    </row>
    <row r="487">
      <c r="D487" s="13"/>
      <c r="I487" s="13"/>
      <c r="M487" s="15"/>
    </row>
    <row r="488">
      <c r="D488" s="13"/>
      <c r="I488" s="13"/>
      <c r="M488" s="15"/>
    </row>
    <row r="489">
      <c r="D489" s="13"/>
      <c r="I489" s="13"/>
      <c r="M489" s="15"/>
    </row>
    <row r="490">
      <c r="D490" s="13"/>
      <c r="I490" s="13"/>
      <c r="M490" s="15"/>
    </row>
    <row r="491">
      <c r="D491" s="13"/>
      <c r="I491" s="13"/>
      <c r="M491" s="15"/>
    </row>
    <row r="492">
      <c r="D492" s="13"/>
      <c r="I492" s="13"/>
      <c r="M492" s="15"/>
    </row>
    <row r="493">
      <c r="D493" s="13"/>
      <c r="I493" s="13"/>
      <c r="M493" s="15"/>
    </row>
    <row r="494">
      <c r="D494" s="13"/>
      <c r="I494" s="13"/>
      <c r="M494" s="15"/>
    </row>
    <row r="495">
      <c r="D495" s="13"/>
      <c r="I495" s="13"/>
      <c r="M495" s="15"/>
    </row>
    <row r="496">
      <c r="D496" s="13"/>
      <c r="I496" s="13"/>
      <c r="M496" s="15"/>
    </row>
    <row r="497">
      <c r="D497" s="13"/>
      <c r="I497" s="13"/>
      <c r="M497" s="15"/>
    </row>
    <row r="498">
      <c r="D498" s="13"/>
      <c r="I498" s="13"/>
      <c r="M498" s="15"/>
    </row>
    <row r="499">
      <c r="D499" s="13"/>
      <c r="I499" s="13"/>
      <c r="M499" s="15"/>
    </row>
    <row r="500">
      <c r="D500" s="13"/>
      <c r="I500" s="13"/>
      <c r="M500" s="15"/>
    </row>
    <row r="501">
      <c r="D501" s="13"/>
      <c r="I501" s="13"/>
      <c r="M501" s="15"/>
    </row>
    <row r="502">
      <c r="D502" s="13"/>
      <c r="I502" s="13"/>
      <c r="M502" s="15"/>
    </row>
    <row r="503">
      <c r="D503" s="13"/>
      <c r="I503" s="13"/>
      <c r="M503" s="15"/>
    </row>
    <row r="504">
      <c r="D504" s="13"/>
      <c r="I504" s="13"/>
      <c r="M504" s="15"/>
    </row>
    <row r="505">
      <c r="D505" s="13"/>
      <c r="I505" s="13"/>
      <c r="M505" s="15"/>
    </row>
    <row r="506">
      <c r="D506" s="13"/>
      <c r="I506" s="13"/>
      <c r="M506" s="15"/>
    </row>
    <row r="507">
      <c r="D507" s="13"/>
      <c r="I507" s="13"/>
      <c r="M507" s="15"/>
    </row>
    <row r="508">
      <c r="D508" s="13"/>
      <c r="I508" s="13"/>
      <c r="M508" s="15"/>
    </row>
    <row r="509">
      <c r="D509" s="13"/>
      <c r="I509" s="13"/>
      <c r="M509" s="15"/>
    </row>
    <row r="510">
      <c r="D510" s="13"/>
      <c r="I510" s="13"/>
      <c r="M510" s="15"/>
    </row>
    <row r="511">
      <c r="D511" s="13"/>
      <c r="I511" s="13"/>
      <c r="M511" s="15"/>
    </row>
    <row r="512">
      <c r="D512" s="13"/>
      <c r="I512" s="13"/>
      <c r="M512" s="15"/>
    </row>
    <row r="513">
      <c r="D513" s="13"/>
      <c r="I513" s="13"/>
      <c r="M513" s="15"/>
    </row>
    <row r="514">
      <c r="D514" s="13"/>
      <c r="I514" s="13"/>
      <c r="M514" s="15"/>
    </row>
    <row r="515">
      <c r="D515" s="13"/>
      <c r="I515" s="13"/>
      <c r="M515" s="15"/>
    </row>
    <row r="516">
      <c r="D516" s="13"/>
      <c r="I516" s="13"/>
      <c r="M516" s="15"/>
    </row>
    <row r="517">
      <c r="D517" s="13"/>
      <c r="I517" s="13"/>
      <c r="M517" s="15"/>
    </row>
    <row r="518">
      <c r="D518" s="13"/>
      <c r="I518" s="13"/>
      <c r="M518" s="15"/>
    </row>
    <row r="519">
      <c r="D519" s="13"/>
      <c r="I519" s="13"/>
      <c r="M519" s="15"/>
    </row>
    <row r="520">
      <c r="D520" s="13"/>
      <c r="I520" s="13"/>
      <c r="M520" s="15"/>
    </row>
    <row r="521">
      <c r="D521" s="13"/>
      <c r="I521" s="13"/>
      <c r="M521" s="15"/>
    </row>
    <row r="522">
      <c r="D522" s="13"/>
      <c r="I522" s="13"/>
      <c r="M522" s="15"/>
    </row>
    <row r="523">
      <c r="D523" s="13"/>
      <c r="I523" s="13"/>
      <c r="M523" s="15"/>
    </row>
    <row r="524">
      <c r="D524" s="13"/>
      <c r="I524" s="13"/>
      <c r="M524" s="15"/>
    </row>
    <row r="525">
      <c r="D525" s="13"/>
      <c r="I525" s="13"/>
      <c r="M525" s="15"/>
    </row>
    <row r="526">
      <c r="D526" s="13"/>
      <c r="I526" s="13"/>
      <c r="M526" s="15"/>
    </row>
    <row r="527">
      <c r="D527" s="13"/>
      <c r="I527" s="13"/>
      <c r="M527" s="15"/>
    </row>
    <row r="528">
      <c r="D528" s="13"/>
      <c r="I528" s="13"/>
      <c r="M528" s="15"/>
    </row>
    <row r="529">
      <c r="D529" s="13"/>
      <c r="I529" s="13"/>
      <c r="M529" s="15"/>
    </row>
    <row r="530">
      <c r="D530" s="13"/>
      <c r="I530" s="13"/>
      <c r="M530" s="15"/>
    </row>
    <row r="531">
      <c r="D531" s="13"/>
      <c r="I531" s="13"/>
      <c r="M531" s="15"/>
    </row>
    <row r="532">
      <c r="D532" s="13"/>
      <c r="I532" s="13"/>
      <c r="M532" s="15"/>
    </row>
    <row r="533">
      <c r="D533" s="13"/>
      <c r="I533" s="13"/>
      <c r="M533" s="15"/>
    </row>
    <row r="534">
      <c r="D534" s="13"/>
      <c r="I534" s="13"/>
      <c r="M534" s="15"/>
    </row>
    <row r="535">
      <c r="D535" s="13"/>
      <c r="I535" s="13"/>
      <c r="M535" s="15"/>
    </row>
    <row r="536">
      <c r="D536" s="13"/>
      <c r="I536" s="13"/>
      <c r="M536" s="15"/>
    </row>
    <row r="537">
      <c r="D537" s="13"/>
      <c r="I537" s="13"/>
      <c r="M537" s="15"/>
    </row>
    <row r="538">
      <c r="D538" s="13"/>
      <c r="I538" s="13"/>
      <c r="M538" s="15"/>
    </row>
    <row r="539">
      <c r="D539" s="13"/>
      <c r="I539" s="13"/>
      <c r="M539" s="15"/>
    </row>
    <row r="540">
      <c r="D540" s="13"/>
      <c r="I540" s="13"/>
      <c r="M540" s="15"/>
    </row>
    <row r="541">
      <c r="D541" s="13"/>
      <c r="I541" s="13"/>
      <c r="M541" s="15"/>
    </row>
    <row r="542">
      <c r="D542" s="13"/>
      <c r="I542" s="13"/>
      <c r="M542" s="15"/>
    </row>
    <row r="543">
      <c r="D543" s="13"/>
      <c r="I543" s="13"/>
      <c r="M543" s="15"/>
    </row>
    <row r="544">
      <c r="D544" s="13"/>
      <c r="I544" s="13"/>
      <c r="M544" s="15"/>
    </row>
    <row r="545">
      <c r="D545" s="13"/>
      <c r="I545" s="13"/>
      <c r="M545" s="15"/>
    </row>
    <row r="546">
      <c r="D546" s="13"/>
      <c r="I546" s="13"/>
      <c r="M546" s="15"/>
    </row>
    <row r="547">
      <c r="D547" s="13"/>
      <c r="I547" s="13"/>
      <c r="M547" s="15"/>
    </row>
    <row r="548">
      <c r="D548" s="13"/>
      <c r="I548" s="13"/>
      <c r="M548" s="15"/>
    </row>
    <row r="549">
      <c r="D549" s="13"/>
      <c r="I549" s="13"/>
      <c r="M549" s="15"/>
    </row>
    <row r="550">
      <c r="D550" s="13"/>
      <c r="I550" s="13"/>
      <c r="M550" s="15"/>
    </row>
    <row r="551">
      <c r="D551" s="13"/>
      <c r="I551" s="13"/>
      <c r="M551" s="15"/>
    </row>
    <row r="552">
      <c r="D552" s="13"/>
      <c r="I552" s="13"/>
      <c r="M552" s="15"/>
    </row>
    <row r="553">
      <c r="D553" s="13"/>
      <c r="I553" s="13"/>
      <c r="M553" s="15"/>
    </row>
    <row r="554">
      <c r="D554" s="13"/>
      <c r="I554" s="13"/>
      <c r="M554" s="15"/>
    </row>
    <row r="555">
      <c r="D555" s="13"/>
      <c r="I555" s="13"/>
      <c r="M555" s="15"/>
    </row>
    <row r="556">
      <c r="D556" s="13"/>
      <c r="I556" s="13"/>
      <c r="M556" s="15"/>
    </row>
    <row r="557">
      <c r="D557" s="13"/>
      <c r="I557" s="13"/>
      <c r="M557" s="15"/>
    </row>
    <row r="558">
      <c r="D558" s="13"/>
      <c r="I558" s="13"/>
      <c r="M558" s="15"/>
    </row>
    <row r="559">
      <c r="D559" s="13"/>
      <c r="I559" s="13"/>
      <c r="M559" s="15"/>
    </row>
    <row r="560">
      <c r="D560" s="13"/>
      <c r="I560" s="13"/>
      <c r="M560" s="15"/>
    </row>
    <row r="561">
      <c r="D561" s="13"/>
      <c r="I561" s="13"/>
      <c r="M561" s="15"/>
    </row>
    <row r="562">
      <c r="D562" s="13"/>
      <c r="I562" s="13"/>
      <c r="M562" s="15"/>
    </row>
    <row r="563">
      <c r="D563" s="13"/>
      <c r="I563" s="13"/>
      <c r="M563" s="15"/>
    </row>
    <row r="564">
      <c r="D564" s="13"/>
      <c r="I564" s="13"/>
      <c r="M564" s="15"/>
    </row>
    <row r="565">
      <c r="D565" s="13"/>
      <c r="I565" s="13"/>
      <c r="M565" s="15"/>
    </row>
    <row r="566">
      <c r="D566" s="13"/>
      <c r="I566" s="13"/>
      <c r="M566" s="15"/>
    </row>
    <row r="567">
      <c r="D567" s="13"/>
      <c r="I567" s="13"/>
      <c r="M567" s="15"/>
    </row>
    <row r="568">
      <c r="D568" s="13"/>
      <c r="I568" s="13"/>
      <c r="M568" s="15"/>
    </row>
    <row r="569">
      <c r="D569" s="13"/>
      <c r="I569" s="13"/>
      <c r="M569" s="15"/>
    </row>
    <row r="570">
      <c r="D570" s="13"/>
      <c r="I570" s="13"/>
      <c r="M570" s="15"/>
    </row>
    <row r="571">
      <c r="D571" s="13"/>
      <c r="I571" s="13"/>
      <c r="M571" s="15"/>
    </row>
    <row r="572">
      <c r="D572" s="13"/>
      <c r="I572" s="13"/>
      <c r="M572" s="15"/>
    </row>
    <row r="573">
      <c r="D573" s="13"/>
      <c r="I573" s="13"/>
      <c r="M573" s="15"/>
    </row>
    <row r="574">
      <c r="D574" s="13"/>
      <c r="I574" s="13"/>
      <c r="M574" s="15"/>
    </row>
    <row r="575">
      <c r="D575" s="13"/>
      <c r="I575" s="13"/>
      <c r="M575" s="15"/>
    </row>
    <row r="576">
      <c r="D576" s="13"/>
      <c r="I576" s="13"/>
      <c r="M576" s="15"/>
    </row>
    <row r="577">
      <c r="D577" s="13"/>
      <c r="I577" s="13"/>
      <c r="M577" s="15"/>
    </row>
    <row r="578">
      <c r="D578" s="13"/>
      <c r="I578" s="13"/>
      <c r="M578" s="15"/>
    </row>
    <row r="579">
      <c r="D579" s="13"/>
      <c r="I579" s="13"/>
      <c r="M579" s="15"/>
    </row>
    <row r="580">
      <c r="D580" s="13"/>
      <c r="I580" s="13"/>
      <c r="M580" s="15"/>
    </row>
    <row r="581">
      <c r="D581" s="13"/>
      <c r="I581" s="13"/>
      <c r="M581" s="15"/>
    </row>
    <row r="582">
      <c r="D582" s="13"/>
      <c r="I582" s="13"/>
      <c r="M582" s="15"/>
    </row>
    <row r="583">
      <c r="D583" s="13"/>
      <c r="I583" s="13"/>
      <c r="M583" s="15"/>
    </row>
    <row r="584">
      <c r="D584" s="13"/>
      <c r="I584" s="13"/>
      <c r="M584" s="15"/>
    </row>
    <row r="585">
      <c r="D585" s="13"/>
      <c r="I585" s="13"/>
      <c r="M585" s="15"/>
    </row>
    <row r="586">
      <c r="D586" s="13"/>
      <c r="I586" s="13"/>
      <c r="M586" s="15"/>
    </row>
    <row r="587">
      <c r="D587" s="13"/>
      <c r="I587" s="13"/>
      <c r="M587" s="15"/>
    </row>
    <row r="588">
      <c r="D588" s="13"/>
      <c r="I588" s="13"/>
      <c r="M588" s="15"/>
    </row>
    <row r="589">
      <c r="D589" s="13"/>
      <c r="I589" s="13"/>
      <c r="M589" s="15"/>
    </row>
    <row r="590">
      <c r="D590" s="13"/>
      <c r="I590" s="13"/>
      <c r="M590" s="15"/>
    </row>
    <row r="591">
      <c r="D591" s="13"/>
      <c r="I591" s="13"/>
      <c r="M591" s="15"/>
    </row>
    <row r="592">
      <c r="D592" s="13"/>
      <c r="I592" s="13"/>
      <c r="M592" s="15"/>
    </row>
    <row r="593">
      <c r="D593" s="13"/>
      <c r="I593" s="13"/>
      <c r="M593" s="15"/>
    </row>
    <row r="594">
      <c r="D594" s="13"/>
      <c r="I594" s="13"/>
      <c r="M594" s="15"/>
    </row>
    <row r="595">
      <c r="D595" s="13"/>
      <c r="I595" s="13"/>
      <c r="M595" s="15"/>
    </row>
    <row r="596">
      <c r="D596" s="13"/>
      <c r="I596" s="13"/>
      <c r="M596" s="15"/>
    </row>
    <row r="597">
      <c r="D597" s="13"/>
      <c r="I597" s="13"/>
      <c r="M597" s="15"/>
    </row>
    <row r="598">
      <c r="D598" s="13"/>
      <c r="I598" s="13"/>
      <c r="M598" s="15"/>
    </row>
    <row r="599">
      <c r="D599" s="13"/>
      <c r="I599" s="13"/>
      <c r="M599" s="15"/>
    </row>
    <row r="600">
      <c r="D600" s="13"/>
      <c r="I600" s="13"/>
      <c r="M600" s="15"/>
    </row>
    <row r="601">
      <c r="D601" s="13"/>
      <c r="I601" s="13"/>
      <c r="M601" s="15"/>
    </row>
    <row r="602">
      <c r="D602" s="13"/>
      <c r="I602" s="13"/>
      <c r="M602" s="15"/>
    </row>
    <row r="603">
      <c r="D603" s="13"/>
      <c r="I603" s="13"/>
      <c r="M603" s="15"/>
    </row>
    <row r="604">
      <c r="D604" s="13"/>
      <c r="I604" s="13"/>
      <c r="M604" s="15"/>
    </row>
    <row r="605">
      <c r="D605" s="13"/>
      <c r="I605" s="13"/>
      <c r="M605" s="15"/>
    </row>
    <row r="606">
      <c r="D606" s="13"/>
      <c r="I606" s="13"/>
      <c r="M606" s="15"/>
    </row>
    <row r="607">
      <c r="D607" s="13"/>
      <c r="I607" s="13"/>
      <c r="M607" s="15"/>
    </row>
    <row r="608">
      <c r="D608" s="13"/>
      <c r="I608" s="13"/>
      <c r="M608" s="15"/>
    </row>
    <row r="609">
      <c r="D609" s="13"/>
      <c r="I609" s="13"/>
      <c r="M609" s="15"/>
    </row>
    <row r="610">
      <c r="D610" s="13"/>
      <c r="I610" s="13"/>
      <c r="M610" s="15"/>
    </row>
    <row r="611">
      <c r="D611" s="13"/>
      <c r="I611" s="13"/>
      <c r="M611" s="15"/>
    </row>
    <row r="612">
      <c r="D612" s="13"/>
      <c r="I612" s="13"/>
      <c r="M612" s="15"/>
    </row>
    <row r="613">
      <c r="D613" s="13"/>
      <c r="I613" s="13"/>
      <c r="M613" s="15"/>
    </row>
    <row r="614">
      <c r="D614" s="13"/>
      <c r="I614" s="13"/>
      <c r="M614" s="15"/>
    </row>
    <row r="615">
      <c r="D615" s="13"/>
      <c r="I615" s="13"/>
      <c r="M615" s="15"/>
    </row>
    <row r="616">
      <c r="D616" s="13"/>
      <c r="I616" s="13"/>
      <c r="M616" s="15"/>
    </row>
    <row r="617">
      <c r="D617" s="13"/>
      <c r="I617" s="13"/>
      <c r="M617" s="15"/>
    </row>
    <row r="618">
      <c r="D618" s="13"/>
      <c r="I618" s="13"/>
      <c r="M618" s="15"/>
    </row>
    <row r="619">
      <c r="D619" s="13"/>
      <c r="I619" s="13"/>
      <c r="M619" s="15"/>
    </row>
    <row r="620">
      <c r="D620" s="13"/>
      <c r="I620" s="13"/>
      <c r="M620" s="15"/>
    </row>
    <row r="621">
      <c r="D621" s="13"/>
      <c r="I621" s="13"/>
      <c r="M621" s="15"/>
    </row>
    <row r="622">
      <c r="D622" s="13"/>
      <c r="I622" s="13"/>
      <c r="M622" s="15"/>
    </row>
    <row r="623">
      <c r="D623" s="13"/>
      <c r="I623" s="13"/>
      <c r="M623" s="15"/>
    </row>
    <row r="624">
      <c r="D624" s="13"/>
      <c r="I624" s="13"/>
      <c r="M624" s="15"/>
    </row>
    <row r="625">
      <c r="D625" s="13"/>
      <c r="I625" s="13"/>
      <c r="M625" s="15"/>
    </row>
    <row r="626">
      <c r="D626" s="13"/>
      <c r="I626" s="13"/>
      <c r="M626" s="15"/>
    </row>
    <row r="627">
      <c r="D627" s="13"/>
      <c r="I627" s="13"/>
      <c r="M627" s="15"/>
    </row>
    <row r="628">
      <c r="D628" s="13"/>
      <c r="I628" s="13"/>
      <c r="M628" s="15"/>
    </row>
    <row r="629">
      <c r="D629" s="13"/>
      <c r="I629" s="13"/>
      <c r="M629" s="15"/>
    </row>
    <row r="630">
      <c r="D630" s="13"/>
      <c r="I630" s="13"/>
      <c r="M630" s="15"/>
    </row>
    <row r="631">
      <c r="D631" s="13"/>
      <c r="I631" s="13"/>
      <c r="M631" s="15"/>
    </row>
    <row r="632">
      <c r="D632" s="13"/>
      <c r="I632" s="13"/>
      <c r="M632" s="15"/>
    </row>
    <row r="633">
      <c r="D633" s="13"/>
      <c r="I633" s="13"/>
      <c r="M633" s="15"/>
    </row>
    <row r="634">
      <c r="D634" s="13"/>
      <c r="I634" s="13"/>
      <c r="M634" s="15"/>
    </row>
    <row r="635">
      <c r="D635" s="13"/>
      <c r="I635" s="13"/>
      <c r="M635" s="15"/>
    </row>
    <row r="636">
      <c r="D636" s="13"/>
      <c r="I636" s="13"/>
      <c r="M636" s="15"/>
    </row>
    <row r="637">
      <c r="D637" s="13"/>
      <c r="I637" s="13"/>
      <c r="M637" s="15"/>
    </row>
    <row r="638">
      <c r="D638" s="13"/>
      <c r="I638" s="13"/>
      <c r="M638" s="15"/>
    </row>
    <row r="639">
      <c r="D639" s="13"/>
      <c r="I639" s="13"/>
      <c r="M639" s="15"/>
    </row>
    <row r="640">
      <c r="D640" s="13"/>
      <c r="I640" s="13"/>
      <c r="M640" s="15"/>
    </row>
    <row r="641">
      <c r="D641" s="13"/>
      <c r="I641" s="13"/>
      <c r="M641" s="15"/>
    </row>
    <row r="642">
      <c r="D642" s="13"/>
      <c r="I642" s="13"/>
      <c r="M642" s="15"/>
    </row>
    <row r="643">
      <c r="D643" s="13"/>
      <c r="I643" s="13"/>
      <c r="M643" s="15"/>
    </row>
    <row r="644">
      <c r="D644" s="13"/>
      <c r="I644" s="13"/>
      <c r="M644" s="15"/>
    </row>
    <row r="645">
      <c r="D645" s="13"/>
      <c r="I645" s="13"/>
      <c r="M645" s="15"/>
    </row>
    <row r="646">
      <c r="D646" s="13"/>
      <c r="I646" s="13"/>
      <c r="M646" s="15"/>
    </row>
    <row r="647">
      <c r="D647" s="13"/>
      <c r="I647" s="13"/>
      <c r="M647" s="15"/>
    </row>
    <row r="648">
      <c r="D648" s="13"/>
      <c r="I648" s="13"/>
      <c r="M648" s="15"/>
    </row>
    <row r="649">
      <c r="D649" s="13"/>
      <c r="I649" s="13"/>
      <c r="M649" s="15"/>
    </row>
    <row r="650">
      <c r="D650" s="13"/>
      <c r="I650" s="13"/>
      <c r="M650" s="15"/>
    </row>
    <row r="651">
      <c r="D651" s="13"/>
      <c r="I651" s="13"/>
      <c r="M651" s="15"/>
    </row>
    <row r="652">
      <c r="D652" s="13"/>
      <c r="I652" s="13"/>
      <c r="M652" s="15"/>
    </row>
    <row r="653">
      <c r="D653" s="13"/>
      <c r="I653" s="13"/>
      <c r="M653" s="15"/>
    </row>
    <row r="654">
      <c r="D654" s="13"/>
      <c r="I654" s="13"/>
      <c r="M654" s="15"/>
    </row>
    <row r="655">
      <c r="D655" s="13"/>
      <c r="I655" s="13"/>
      <c r="M655" s="15"/>
    </row>
    <row r="656">
      <c r="D656" s="13"/>
      <c r="I656" s="13"/>
      <c r="M656" s="15"/>
    </row>
    <row r="657">
      <c r="D657" s="13"/>
      <c r="I657" s="13"/>
      <c r="M657" s="15"/>
    </row>
    <row r="658">
      <c r="D658" s="13"/>
      <c r="I658" s="13"/>
      <c r="M658" s="15"/>
    </row>
    <row r="659">
      <c r="D659" s="13"/>
      <c r="I659" s="13"/>
      <c r="M659" s="15"/>
    </row>
    <row r="660">
      <c r="D660" s="13"/>
      <c r="I660" s="13"/>
      <c r="M660" s="15"/>
    </row>
    <row r="661">
      <c r="D661" s="13"/>
      <c r="I661" s="13"/>
      <c r="M661" s="15"/>
    </row>
    <row r="662">
      <c r="D662" s="13"/>
      <c r="I662" s="13"/>
      <c r="M662" s="15"/>
    </row>
    <row r="663">
      <c r="D663" s="13"/>
      <c r="I663" s="13"/>
      <c r="M663" s="15"/>
    </row>
    <row r="664">
      <c r="D664" s="13"/>
      <c r="I664" s="13"/>
      <c r="M664" s="15"/>
    </row>
    <row r="665">
      <c r="D665" s="13"/>
      <c r="I665" s="13"/>
      <c r="M665" s="15"/>
    </row>
    <row r="666">
      <c r="D666" s="13"/>
      <c r="I666" s="13"/>
      <c r="M666" s="15"/>
    </row>
    <row r="667">
      <c r="D667" s="13"/>
      <c r="I667" s="13"/>
      <c r="M667" s="15"/>
    </row>
    <row r="668">
      <c r="D668" s="13"/>
      <c r="I668" s="13"/>
      <c r="M668" s="15"/>
    </row>
    <row r="669">
      <c r="D669" s="13"/>
      <c r="I669" s="13"/>
      <c r="M669" s="15"/>
    </row>
    <row r="670">
      <c r="D670" s="13"/>
      <c r="I670" s="13"/>
      <c r="M670" s="15"/>
    </row>
    <row r="671">
      <c r="D671" s="13"/>
      <c r="I671" s="13"/>
      <c r="M671" s="15"/>
    </row>
    <row r="672">
      <c r="D672" s="13"/>
      <c r="I672" s="13"/>
      <c r="M672" s="15"/>
    </row>
    <row r="673">
      <c r="D673" s="13"/>
      <c r="I673" s="13"/>
      <c r="M673" s="15"/>
    </row>
    <row r="674">
      <c r="D674" s="13"/>
      <c r="I674" s="13"/>
      <c r="M674" s="15"/>
    </row>
    <row r="675">
      <c r="D675" s="13"/>
      <c r="I675" s="13"/>
      <c r="M675" s="15"/>
    </row>
    <row r="676">
      <c r="D676" s="13"/>
      <c r="I676" s="13"/>
      <c r="M676" s="15"/>
    </row>
    <row r="677">
      <c r="D677" s="13"/>
      <c r="I677" s="13"/>
      <c r="M677" s="15"/>
    </row>
    <row r="678">
      <c r="D678" s="13"/>
      <c r="I678" s="13"/>
      <c r="M678" s="15"/>
    </row>
    <row r="679">
      <c r="D679" s="13"/>
      <c r="I679" s="13"/>
      <c r="M679" s="15"/>
    </row>
    <row r="680">
      <c r="D680" s="13"/>
      <c r="I680" s="13"/>
      <c r="M680" s="15"/>
    </row>
    <row r="681">
      <c r="D681" s="13"/>
      <c r="I681" s="13"/>
      <c r="M681" s="15"/>
    </row>
    <row r="682">
      <c r="D682" s="13"/>
      <c r="I682" s="13"/>
      <c r="M682" s="15"/>
    </row>
    <row r="683">
      <c r="D683" s="13"/>
      <c r="I683" s="13"/>
      <c r="M683" s="15"/>
    </row>
    <row r="684">
      <c r="D684" s="13"/>
      <c r="I684" s="13"/>
      <c r="M684" s="15"/>
    </row>
    <row r="685">
      <c r="D685" s="13"/>
      <c r="I685" s="13"/>
      <c r="M685" s="15"/>
    </row>
    <row r="686">
      <c r="D686" s="13"/>
      <c r="I686" s="13"/>
      <c r="M686" s="15"/>
    </row>
    <row r="687">
      <c r="D687" s="13"/>
      <c r="I687" s="13"/>
      <c r="M687" s="15"/>
    </row>
    <row r="688">
      <c r="D688" s="13"/>
      <c r="I688" s="13"/>
      <c r="M688" s="15"/>
    </row>
    <row r="689">
      <c r="D689" s="13"/>
      <c r="I689" s="13"/>
      <c r="M689" s="15"/>
    </row>
    <row r="690">
      <c r="D690" s="13"/>
      <c r="I690" s="13"/>
      <c r="M690" s="15"/>
    </row>
    <row r="691">
      <c r="D691" s="13"/>
      <c r="I691" s="13"/>
      <c r="M691" s="15"/>
    </row>
    <row r="692">
      <c r="D692" s="13"/>
      <c r="I692" s="13"/>
      <c r="M692" s="15"/>
    </row>
    <row r="693">
      <c r="D693" s="13"/>
      <c r="I693" s="13"/>
      <c r="M693" s="15"/>
    </row>
    <row r="694">
      <c r="D694" s="13"/>
      <c r="I694" s="13"/>
      <c r="M694" s="15"/>
    </row>
    <row r="695">
      <c r="D695" s="13"/>
      <c r="I695" s="13"/>
      <c r="M695" s="15"/>
    </row>
    <row r="696">
      <c r="D696" s="13"/>
      <c r="I696" s="13"/>
      <c r="M696" s="15"/>
    </row>
    <row r="697">
      <c r="D697" s="13"/>
      <c r="I697" s="13"/>
      <c r="M697" s="15"/>
    </row>
    <row r="698">
      <c r="D698" s="13"/>
      <c r="I698" s="13"/>
      <c r="M698" s="15"/>
    </row>
    <row r="699">
      <c r="D699" s="13"/>
      <c r="I699" s="13"/>
      <c r="M699" s="15"/>
    </row>
    <row r="700">
      <c r="D700" s="13"/>
      <c r="I700" s="13"/>
      <c r="M700" s="15"/>
    </row>
    <row r="701">
      <c r="D701" s="13"/>
      <c r="I701" s="13"/>
      <c r="M701" s="15"/>
    </row>
    <row r="702">
      <c r="D702" s="13"/>
      <c r="I702" s="13"/>
      <c r="M702" s="15"/>
    </row>
    <row r="703">
      <c r="D703" s="13"/>
      <c r="I703" s="13"/>
      <c r="M703" s="15"/>
    </row>
    <row r="704">
      <c r="D704" s="13"/>
      <c r="I704" s="13"/>
      <c r="M704" s="15"/>
    </row>
    <row r="705">
      <c r="D705" s="13"/>
      <c r="I705" s="13"/>
      <c r="M705" s="15"/>
    </row>
    <row r="706">
      <c r="D706" s="13"/>
      <c r="I706" s="13"/>
      <c r="M706" s="15"/>
    </row>
    <row r="707">
      <c r="D707" s="13"/>
      <c r="I707" s="13"/>
      <c r="M707" s="15"/>
    </row>
    <row r="708">
      <c r="D708" s="13"/>
      <c r="I708" s="13"/>
      <c r="M708" s="15"/>
    </row>
    <row r="709">
      <c r="D709" s="13"/>
      <c r="I709" s="13"/>
      <c r="M709" s="15"/>
    </row>
    <row r="710">
      <c r="D710" s="13"/>
      <c r="I710" s="13"/>
      <c r="M710" s="15"/>
    </row>
    <row r="711">
      <c r="D711" s="13"/>
      <c r="I711" s="13"/>
      <c r="M711" s="15"/>
    </row>
    <row r="712">
      <c r="D712" s="13"/>
      <c r="I712" s="13"/>
      <c r="M712" s="15"/>
    </row>
    <row r="713">
      <c r="D713" s="13"/>
      <c r="I713" s="13"/>
      <c r="M713" s="15"/>
    </row>
    <row r="714">
      <c r="D714" s="13"/>
      <c r="I714" s="13"/>
      <c r="M714" s="15"/>
    </row>
    <row r="715">
      <c r="D715" s="13"/>
      <c r="I715" s="13"/>
      <c r="M715" s="15"/>
    </row>
    <row r="716">
      <c r="D716" s="13"/>
      <c r="I716" s="13"/>
      <c r="M716" s="15"/>
    </row>
    <row r="717">
      <c r="D717" s="13"/>
      <c r="I717" s="13"/>
      <c r="M717" s="15"/>
    </row>
    <row r="718">
      <c r="D718" s="13"/>
      <c r="I718" s="13"/>
      <c r="M718" s="15"/>
    </row>
    <row r="719">
      <c r="D719" s="13"/>
      <c r="I719" s="13"/>
      <c r="M719" s="15"/>
    </row>
    <row r="720">
      <c r="D720" s="13"/>
      <c r="I720" s="13"/>
      <c r="M720" s="15"/>
    </row>
    <row r="721">
      <c r="D721" s="13"/>
      <c r="I721" s="13"/>
      <c r="M721" s="15"/>
    </row>
    <row r="722">
      <c r="D722" s="13"/>
      <c r="I722" s="13"/>
      <c r="M722" s="15"/>
    </row>
    <row r="723">
      <c r="D723" s="13"/>
      <c r="I723" s="13"/>
      <c r="M723" s="15"/>
    </row>
    <row r="724">
      <c r="D724" s="13"/>
      <c r="I724" s="13"/>
      <c r="M724" s="15"/>
    </row>
    <row r="725">
      <c r="D725" s="13"/>
      <c r="I725" s="13"/>
      <c r="M725" s="15"/>
    </row>
    <row r="726">
      <c r="D726" s="13"/>
      <c r="I726" s="13"/>
      <c r="M726" s="15"/>
    </row>
    <row r="727">
      <c r="D727" s="13"/>
      <c r="I727" s="13"/>
      <c r="M727" s="15"/>
    </row>
    <row r="728">
      <c r="D728" s="13"/>
      <c r="I728" s="13"/>
      <c r="M728" s="15"/>
    </row>
    <row r="729">
      <c r="D729" s="13"/>
      <c r="I729" s="13"/>
      <c r="M729" s="15"/>
    </row>
    <row r="730">
      <c r="D730" s="13"/>
      <c r="I730" s="13"/>
      <c r="M730" s="15"/>
    </row>
    <row r="731">
      <c r="D731" s="13"/>
      <c r="I731" s="13"/>
      <c r="M731" s="15"/>
    </row>
    <row r="732">
      <c r="D732" s="13"/>
      <c r="I732" s="13"/>
      <c r="M732" s="15"/>
    </row>
    <row r="733">
      <c r="D733" s="13"/>
      <c r="I733" s="13"/>
      <c r="M733" s="15"/>
    </row>
    <row r="734">
      <c r="D734" s="13"/>
      <c r="I734" s="13"/>
      <c r="M734" s="15"/>
    </row>
    <row r="735">
      <c r="D735" s="13"/>
      <c r="I735" s="13"/>
      <c r="M735" s="15"/>
    </row>
    <row r="736">
      <c r="D736" s="13"/>
      <c r="I736" s="13"/>
      <c r="M736" s="15"/>
    </row>
    <row r="737">
      <c r="D737" s="13"/>
      <c r="I737" s="13"/>
      <c r="M737" s="15"/>
    </row>
    <row r="738">
      <c r="D738" s="13"/>
      <c r="I738" s="13"/>
      <c r="M738" s="15"/>
    </row>
    <row r="739">
      <c r="D739" s="13"/>
      <c r="I739" s="13"/>
      <c r="M739" s="15"/>
    </row>
    <row r="740">
      <c r="D740" s="13"/>
      <c r="I740" s="13"/>
      <c r="M740" s="15"/>
    </row>
    <row r="741">
      <c r="D741" s="13"/>
      <c r="I741" s="13"/>
      <c r="M741" s="15"/>
    </row>
    <row r="742">
      <c r="D742" s="13"/>
      <c r="I742" s="13"/>
      <c r="M742" s="15"/>
    </row>
    <row r="743">
      <c r="D743" s="13"/>
      <c r="I743" s="13"/>
      <c r="M743" s="15"/>
    </row>
    <row r="744">
      <c r="D744" s="13"/>
      <c r="I744" s="13"/>
      <c r="M744" s="15"/>
    </row>
    <row r="745">
      <c r="D745" s="13"/>
      <c r="I745" s="13"/>
      <c r="M745" s="15"/>
    </row>
    <row r="746">
      <c r="D746" s="13"/>
      <c r="I746" s="13"/>
      <c r="M746" s="15"/>
    </row>
    <row r="747">
      <c r="D747" s="13"/>
      <c r="I747" s="13"/>
      <c r="M747" s="15"/>
    </row>
    <row r="748">
      <c r="D748" s="13"/>
      <c r="I748" s="13"/>
      <c r="M748" s="15"/>
    </row>
    <row r="749">
      <c r="D749" s="13"/>
      <c r="I749" s="13"/>
      <c r="M749" s="15"/>
    </row>
    <row r="750">
      <c r="D750" s="13"/>
      <c r="I750" s="13"/>
      <c r="M750" s="15"/>
    </row>
    <row r="751">
      <c r="D751" s="13"/>
      <c r="I751" s="13"/>
      <c r="M751" s="15"/>
    </row>
    <row r="752">
      <c r="D752" s="13"/>
      <c r="I752" s="13"/>
      <c r="M752" s="15"/>
    </row>
    <row r="753">
      <c r="D753" s="13"/>
      <c r="I753" s="13"/>
      <c r="M753" s="15"/>
    </row>
    <row r="754">
      <c r="D754" s="13"/>
      <c r="I754" s="13"/>
      <c r="M754" s="15"/>
    </row>
    <row r="755">
      <c r="D755" s="13"/>
      <c r="I755" s="13"/>
      <c r="M755" s="15"/>
    </row>
    <row r="756">
      <c r="D756" s="13"/>
      <c r="I756" s="13"/>
      <c r="M756" s="15"/>
    </row>
    <row r="757">
      <c r="D757" s="13"/>
      <c r="I757" s="13"/>
      <c r="M757" s="15"/>
    </row>
    <row r="758">
      <c r="D758" s="13"/>
      <c r="I758" s="13"/>
      <c r="M758" s="15"/>
    </row>
    <row r="759">
      <c r="D759" s="13"/>
      <c r="I759" s="13"/>
      <c r="M759" s="15"/>
    </row>
    <row r="760">
      <c r="D760" s="13"/>
      <c r="I760" s="13"/>
      <c r="M760" s="15"/>
    </row>
    <row r="761">
      <c r="D761" s="13"/>
      <c r="I761" s="13"/>
      <c r="M761" s="15"/>
    </row>
    <row r="762">
      <c r="D762" s="13"/>
      <c r="I762" s="13"/>
      <c r="M762" s="15"/>
    </row>
    <row r="763">
      <c r="D763" s="13"/>
      <c r="I763" s="13"/>
      <c r="M763" s="15"/>
    </row>
    <row r="764">
      <c r="D764" s="13"/>
      <c r="I764" s="13"/>
      <c r="M764" s="15"/>
    </row>
    <row r="765">
      <c r="D765" s="13"/>
      <c r="I765" s="13"/>
      <c r="M765" s="15"/>
    </row>
    <row r="766">
      <c r="D766" s="13"/>
      <c r="I766" s="13"/>
      <c r="M766" s="15"/>
    </row>
    <row r="767">
      <c r="D767" s="13"/>
      <c r="I767" s="13"/>
      <c r="M767" s="15"/>
    </row>
    <row r="768">
      <c r="D768" s="13"/>
      <c r="I768" s="13"/>
      <c r="M768" s="15"/>
    </row>
    <row r="769">
      <c r="D769" s="13"/>
      <c r="I769" s="13"/>
      <c r="M769" s="15"/>
    </row>
    <row r="770">
      <c r="D770" s="13"/>
      <c r="I770" s="13"/>
      <c r="M770" s="15"/>
    </row>
    <row r="771">
      <c r="D771" s="13"/>
      <c r="I771" s="13"/>
      <c r="M771" s="15"/>
    </row>
    <row r="772">
      <c r="D772" s="13"/>
      <c r="I772" s="13"/>
      <c r="M772" s="15"/>
    </row>
    <row r="773">
      <c r="D773" s="13"/>
      <c r="I773" s="13"/>
      <c r="M773" s="15"/>
    </row>
    <row r="774">
      <c r="D774" s="13"/>
      <c r="I774" s="13"/>
      <c r="M774" s="15"/>
    </row>
    <row r="775">
      <c r="D775" s="13"/>
      <c r="I775" s="13"/>
      <c r="M775" s="15"/>
    </row>
    <row r="776">
      <c r="D776" s="13"/>
      <c r="I776" s="13"/>
      <c r="M776" s="15"/>
    </row>
    <row r="777">
      <c r="D777" s="13"/>
      <c r="I777" s="13"/>
      <c r="M777" s="15"/>
    </row>
    <row r="778">
      <c r="D778" s="13"/>
      <c r="I778" s="13"/>
      <c r="M778" s="15"/>
    </row>
    <row r="779">
      <c r="D779" s="13"/>
      <c r="I779" s="13"/>
      <c r="M779" s="15"/>
    </row>
    <row r="780">
      <c r="D780" s="13"/>
      <c r="I780" s="13"/>
      <c r="M780" s="15"/>
    </row>
    <row r="781">
      <c r="D781" s="13"/>
      <c r="I781" s="13"/>
      <c r="M781" s="15"/>
    </row>
    <row r="782">
      <c r="D782" s="13"/>
      <c r="I782" s="13"/>
      <c r="M782" s="15"/>
    </row>
    <row r="783">
      <c r="D783" s="13"/>
      <c r="I783" s="13"/>
      <c r="M783" s="15"/>
    </row>
    <row r="784">
      <c r="D784" s="13"/>
      <c r="I784" s="13"/>
      <c r="M784" s="15"/>
    </row>
    <row r="785">
      <c r="D785" s="13"/>
      <c r="I785" s="13"/>
      <c r="M785" s="15"/>
    </row>
    <row r="786">
      <c r="D786" s="13"/>
      <c r="I786" s="13"/>
      <c r="M786" s="15"/>
    </row>
    <row r="787">
      <c r="D787" s="13"/>
      <c r="I787" s="13"/>
      <c r="M787" s="15"/>
    </row>
    <row r="788">
      <c r="D788" s="13"/>
      <c r="I788" s="13"/>
      <c r="M788" s="15"/>
    </row>
    <row r="789">
      <c r="D789" s="13"/>
      <c r="I789" s="13"/>
      <c r="M789" s="15"/>
    </row>
    <row r="790">
      <c r="D790" s="13"/>
      <c r="I790" s="13"/>
      <c r="M790" s="15"/>
    </row>
    <row r="791">
      <c r="D791" s="13"/>
      <c r="I791" s="13"/>
      <c r="M791" s="15"/>
    </row>
    <row r="792">
      <c r="D792" s="13"/>
      <c r="I792" s="13"/>
      <c r="M792" s="15"/>
    </row>
    <row r="793">
      <c r="D793" s="13"/>
      <c r="I793" s="13"/>
      <c r="M793" s="15"/>
    </row>
    <row r="794">
      <c r="D794" s="13"/>
      <c r="I794" s="13"/>
      <c r="M794" s="15"/>
    </row>
    <row r="795">
      <c r="D795" s="13"/>
      <c r="I795" s="13"/>
      <c r="M795" s="15"/>
    </row>
    <row r="796">
      <c r="D796" s="13"/>
      <c r="I796" s="13"/>
      <c r="M796" s="15"/>
    </row>
    <row r="797">
      <c r="D797" s="13"/>
      <c r="I797" s="13"/>
      <c r="M797" s="15"/>
    </row>
    <row r="798">
      <c r="D798" s="13"/>
      <c r="I798" s="13"/>
      <c r="M798" s="15"/>
    </row>
    <row r="799">
      <c r="D799" s="13"/>
      <c r="I799" s="13"/>
      <c r="M799" s="15"/>
    </row>
    <row r="800">
      <c r="D800" s="13"/>
      <c r="I800" s="13"/>
      <c r="M800" s="15"/>
    </row>
    <row r="801">
      <c r="D801" s="13"/>
      <c r="I801" s="13"/>
      <c r="M801" s="15"/>
    </row>
    <row r="802">
      <c r="D802" s="13"/>
      <c r="I802" s="13"/>
      <c r="M802" s="15"/>
    </row>
    <row r="803">
      <c r="D803" s="13"/>
      <c r="I803" s="13"/>
      <c r="M803" s="15"/>
    </row>
    <row r="804">
      <c r="D804" s="13"/>
      <c r="I804" s="13"/>
      <c r="M804" s="15"/>
    </row>
    <row r="805">
      <c r="D805" s="13"/>
      <c r="I805" s="13"/>
      <c r="M805" s="15"/>
    </row>
    <row r="806">
      <c r="D806" s="13"/>
      <c r="I806" s="13"/>
      <c r="M806" s="15"/>
    </row>
    <row r="807">
      <c r="D807" s="13"/>
      <c r="I807" s="13"/>
      <c r="M807" s="15"/>
    </row>
    <row r="808">
      <c r="D808" s="13"/>
      <c r="I808" s="13"/>
      <c r="M808" s="15"/>
    </row>
    <row r="809">
      <c r="D809" s="13"/>
      <c r="I809" s="13"/>
      <c r="M809" s="15"/>
    </row>
    <row r="810">
      <c r="D810" s="13"/>
      <c r="I810" s="13"/>
      <c r="M810" s="15"/>
    </row>
    <row r="811">
      <c r="D811" s="13"/>
      <c r="I811" s="13"/>
      <c r="M811" s="15"/>
    </row>
    <row r="812">
      <c r="D812" s="13"/>
      <c r="I812" s="13"/>
      <c r="M812" s="15"/>
    </row>
    <row r="813">
      <c r="D813" s="13"/>
      <c r="I813" s="13"/>
      <c r="M813" s="15"/>
    </row>
    <row r="814">
      <c r="D814" s="13"/>
      <c r="I814" s="13"/>
      <c r="M814" s="15"/>
    </row>
    <row r="815">
      <c r="D815" s="13"/>
      <c r="I815" s="13"/>
      <c r="M815" s="15"/>
    </row>
    <row r="816">
      <c r="D816" s="13"/>
      <c r="I816" s="13"/>
      <c r="M816" s="15"/>
    </row>
    <row r="817">
      <c r="D817" s="13"/>
      <c r="I817" s="13"/>
      <c r="M817" s="15"/>
    </row>
    <row r="818">
      <c r="D818" s="13"/>
      <c r="I818" s="13"/>
      <c r="M818" s="15"/>
    </row>
    <row r="819">
      <c r="D819" s="13"/>
      <c r="I819" s="13"/>
      <c r="M819" s="15"/>
    </row>
    <row r="820">
      <c r="D820" s="13"/>
      <c r="I820" s="13"/>
      <c r="M820" s="15"/>
    </row>
    <row r="821">
      <c r="D821" s="13"/>
      <c r="I821" s="13"/>
      <c r="M821" s="15"/>
    </row>
    <row r="822">
      <c r="D822" s="13"/>
      <c r="I822" s="13"/>
      <c r="M822" s="15"/>
    </row>
    <row r="823">
      <c r="D823" s="13"/>
      <c r="I823" s="13"/>
      <c r="M823" s="15"/>
    </row>
    <row r="824">
      <c r="D824" s="13"/>
      <c r="I824" s="13"/>
      <c r="M824" s="15"/>
    </row>
    <row r="825">
      <c r="D825" s="13"/>
      <c r="I825" s="13"/>
      <c r="M825" s="15"/>
    </row>
    <row r="826">
      <c r="D826" s="13"/>
      <c r="I826" s="13"/>
      <c r="M826" s="15"/>
    </row>
    <row r="827">
      <c r="D827" s="13"/>
      <c r="I827" s="13"/>
      <c r="M827" s="15"/>
    </row>
    <row r="828">
      <c r="D828" s="13"/>
      <c r="I828" s="13"/>
      <c r="M828" s="15"/>
    </row>
    <row r="829">
      <c r="D829" s="13"/>
      <c r="I829" s="13"/>
      <c r="M829" s="15"/>
    </row>
    <row r="830">
      <c r="D830" s="13"/>
      <c r="I830" s="13"/>
      <c r="M830" s="15"/>
    </row>
    <row r="831">
      <c r="D831" s="13"/>
      <c r="I831" s="13"/>
      <c r="M831" s="15"/>
    </row>
    <row r="832">
      <c r="D832" s="13"/>
      <c r="I832" s="13"/>
      <c r="M832" s="15"/>
    </row>
    <row r="833">
      <c r="D833" s="13"/>
      <c r="I833" s="13"/>
      <c r="M833" s="15"/>
    </row>
    <row r="834">
      <c r="D834" s="13"/>
      <c r="I834" s="13"/>
      <c r="M834" s="15"/>
    </row>
    <row r="835">
      <c r="D835" s="13"/>
      <c r="I835" s="13"/>
      <c r="M835" s="15"/>
    </row>
    <row r="836">
      <c r="D836" s="13"/>
      <c r="I836" s="13"/>
      <c r="M836" s="15"/>
    </row>
    <row r="837">
      <c r="D837" s="13"/>
      <c r="I837" s="13"/>
      <c r="M837" s="15"/>
    </row>
    <row r="838">
      <c r="D838" s="13"/>
      <c r="I838" s="13"/>
      <c r="M838" s="15"/>
    </row>
    <row r="839">
      <c r="D839" s="13"/>
      <c r="I839" s="13"/>
      <c r="M839" s="15"/>
    </row>
    <row r="840">
      <c r="D840" s="13"/>
      <c r="I840" s="13"/>
      <c r="M840" s="15"/>
    </row>
    <row r="841">
      <c r="D841" s="13"/>
      <c r="I841" s="13"/>
      <c r="M841" s="15"/>
    </row>
    <row r="842">
      <c r="D842" s="13"/>
      <c r="I842" s="13"/>
      <c r="M842" s="15"/>
    </row>
    <row r="843">
      <c r="D843" s="13"/>
      <c r="I843" s="13"/>
      <c r="M843" s="15"/>
    </row>
    <row r="844">
      <c r="D844" s="13"/>
      <c r="I844" s="13"/>
      <c r="M844" s="15"/>
    </row>
    <row r="845">
      <c r="D845" s="13"/>
      <c r="I845" s="13"/>
      <c r="M845" s="15"/>
    </row>
    <row r="846">
      <c r="D846" s="13"/>
      <c r="I846" s="13"/>
      <c r="M846" s="15"/>
    </row>
    <row r="847">
      <c r="D847" s="13"/>
      <c r="I847" s="13"/>
      <c r="M847" s="15"/>
    </row>
    <row r="848">
      <c r="D848" s="13"/>
      <c r="I848" s="13"/>
      <c r="M848" s="15"/>
    </row>
    <row r="849">
      <c r="D849" s="13"/>
      <c r="I849" s="13"/>
      <c r="M849" s="15"/>
    </row>
    <row r="850">
      <c r="D850" s="13"/>
      <c r="I850" s="13"/>
      <c r="M850" s="15"/>
    </row>
    <row r="851">
      <c r="D851" s="13"/>
      <c r="I851" s="13"/>
      <c r="M851" s="15"/>
    </row>
    <row r="852">
      <c r="D852" s="13"/>
      <c r="I852" s="13"/>
      <c r="M852" s="15"/>
    </row>
    <row r="853">
      <c r="D853" s="13"/>
      <c r="I853" s="13"/>
      <c r="M853" s="15"/>
    </row>
    <row r="854">
      <c r="D854" s="13"/>
      <c r="I854" s="13"/>
      <c r="M854" s="15"/>
    </row>
    <row r="855">
      <c r="D855" s="13"/>
      <c r="I855" s="13"/>
      <c r="M855" s="15"/>
    </row>
    <row r="856">
      <c r="D856" s="13"/>
      <c r="I856" s="13"/>
      <c r="M856" s="15"/>
    </row>
    <row r="857">
      <c r="D857" s="13"/>
      <c r="I857" s="13"/>
      <c r="M857" s="15"/>
    </row>
    <row r="858">
      <c r="D858" s="13"/>
      <c r="I858" s="13"/>
      <c r="M858" s="15"/>
    </row>
    <row r="859">
      <c r="D859" s="13"/>
      <c r="I859" s="13"/>
      <c r="M859" s="15"/>
    </row>
    <row r="860">
      <c r="D860" s="13"/>
      <c r="I860" s="13"/>
      <c r="M860" s="15"/>
    </row>
    <row r="861">
      <c r="D861" s="13"/>
      <c r="I861" s="13"/>
      <c r="M861" s="15"/>
    </row>
    <row r="862">
      <c r="D862" s="13"/>
      <c r="I862" s="13"/>
      <c r="M862" s="15"/>
    </row>
    <row r="863">
      <c r="D863" s="13"/>
      <c r="I863" s="13"/>
      <c r="M863" s="15"/>
    </row>
    <row r="864">
      <c r="D864" s="13"/>
      <c r="I864" s="13"/>
      <c r="M864" s="15"/>
    </row>
    <row r="865">
      <c r="D865" s="13"/>
      <c r="I865" s="13"/>
      <c r="M865" s="15"/>
    </row>
    <row r="866">
      <c r="D866" s="13"/>
      <c r="I866" s="13"/>
      <c r="M866" s="15"/>
    </row>
    <row r="867">
      <c r="D867" s="13"/>
      <c r="I867" s="13"/>
      <c r="M867" s="15"/>
    </row>
    <row r="868">
      <c r="D868" s="13"/>
      <c r="I868" s="13"/>
      <c r="M868" s="15"/>
    </row>
    <row r="869">
      <c r="D869" s="13"/>
      <c r="I869" s="13"/>
      <c r="M869" s="15"/>
    </row>
    <row r="870">
      <c r="D870" s="13"/>
      <c r="I870" s="13"/>
      <c r="M870" s="15"/>
    </row>
    <row r="871">
      <c r="D871" s="13"/>
      <c r="I871" s="13"/>
      <c r="M871" s="15"/>
    </row>
    <row r="872">
      <c r="D872" s="13"/>
      <c r="I872" s="13"/>
      <c r="M872" s="15"/>
    </row>
    <row r="873">
      <c r="D873" s="13"/>
      <c r="I873" s="13"/>
      <c r="M873" s="15"/>
    </row>
    <row r="874">
      <c r="D874" s="13"/>
      <c r="I874" s="13"/>
      <c r="M874" s="15"/>
    </row>
    <row r="875">
      <c r="D875" s="13"/>
      <c r="I875" s="13"/>
      <c r="M875" s="15"/>
    </row>
    <row r="876">
      <c r="D876" s="13"/>
      <c r="I876" s="13"/>
      <c r="M876" s="15"/>
    </row>
    <row r="877">
      <c r="D877" s="13"/>
      <c r="I877" s="13"/>
      <c r="M877" s="15"/>
    </row>
    <row r="878">
      <c r="D878" s="13"/>
      <c r="I878" s="13"/>
      <c r="M878" s="15"/>
    </row>
    <row r="879">
      <c r="D879" s="13"/>
      <c r="I879" s="13"/>
      <c r="M879" s="15"/>
    </row>
    <row r="880">
      <c r="D880" s="13"/>
      <c r="I880" s="13"/>
      <c r="M880" s="15"/>
    </row>
    <row r="881">
      <c r="D881" s="13"/>
      <c r="I881" s="13"/>
      <c r="M881" s="15"/>
    </row>
    <row r="882">
      <c r="D882" s="13"/>
      <c r="I882" s="13"/>
      <c r="M882" s="15"/>
    </row>
    <row r="883">
      <c r="D883" s="13"/>
      <c r="I883" s="13"/>
      <c r="M883" s="15"/>
    </row>
    <row r="884">
      <c r="D884" s="13"/>
      <c r="I884" s="13"/>
      <c r="M884" s="15"/>
    </row>
    <row r="885">
      <c r="D885" s="13"/>
      <c r="I885" s="13"/>
      <c r="M885" s="15"/>
    </row>
    <row r="886">
      <c r="D886" s="13"/>
      <c r="I886" s="13"/>
      <c r="M886" s="15"/>
    </row>
    <row r="887">
      <c r="D887" s="13"/>
      <c r="I887" s="13"/>
      <c r="M887" s="15"/>
    </row>
    <row r="888">
      <c r="D888" s="13"/>
      <c r="I888" s="13"/>
      <c r="M888" s="15"/>
    </row>
    <row r="889">
      <c r="D889" s="13"/>
      <c r="I889" s="13"/>
      <c r="M889" s="15"/>
    </row>
    <row r="890">
      <c r="D890" s="13"/>
      <c r="I890" s="13"/>
      <c r="M890" s="15"/>
    </row>
    <row r="891">
      <c r="D891" s="13"/>
      <c r="I891" s="13"/>
      <c r="M891" s="15"/>
    </row>
    <row r="892">
      <c r="D892" s="13"/>
      <c r="I892" s="13"/>
      <c r="M892" s="15"/>
    </row>
    <row r="893">
      <c r="D893" s="13"/>
      <c r="I893" s="13"/>
      <c r="M893" s="15"/>
    </row>
    <row r="894">
      <c r="D894" s="13"/>
      <c r="I894" s="13"/>
      <c r="M894" s="15"/>
    </row>
    <row r="895">
      <c r="D895" s="13"/>
      <c r="I895" s="13"/>
      <c r="M895" s="15"/>
    </row>
    <row r="896">
      <c r="D896" s="13"/>
      <c r="I896" s="13"/>
      <c r="M896" s="15"/>
    </row>
    <row r="897">
      <c r="D897" s="13"/>
      <c r="I897" s="13"/>
      <c r="M897" s="15"/>
    </row>
    <row r="898">
      <c r="D898" s="13"/>
      <c r="I898" s="13"/>
      <c r="M898" s="15"/>
    </row>
    <row r="899">
      <c r="D899" s="13"/>
      <c r="I899" s="13"/>
      <c r="M899" s="15"/>
    </row>
    <row r="900">
      <c r="D900" s="13"/>
      <c r="I900" s="13"/>
      <c r="M900" s="15"/>
    </row>
    <row r="901">
      <c r="D901" s="13"/>
      <c r="I901" s="13"/>
      <c r="M901" s="15"/>
    </row>
    <row r="902">
      <c r="D902" s="13"/>
      <c r="I902" s="13"/>
      <c r="M902" s="15"/>
    </row>
    <row r="903">
      <c r="D903" s="13"/>
      <c r="I903" s="13"/>
      <c r="M903" s="15"/>
    </row>
    <row r="904">
      <c r="D904" s="13"/>
      <c r="I904" s="13"/>
      <c r="M904" s="15"/>
    </row>
    <row r="905">
      <c r="D905" s="13"/>
      <c r="I905" s="13"/>
      <c r="M905" s="15"/>
    </row>
    <row r="906">
      <c r="D906" s="13"/>
      <c r="I906" s="13"/>
      <c r="M906" s="15"/>
    </row>
    <row r="907">
      <c r="D907" s="13"/>
      <c r="I907" s="13"/>
      <c r="M907" s="15"/>
    </row>
    <row r="908">
      <c r="D908" s="13"/>
      <c r="I908" s="13"/>
      <c r="M908" s="15"/>
    </row>
    <row r="909">
      <c r="D909" s="13"/>
      <c r="I909" s="13"/>
      <c r="M909" s="15"/>
    </row>
    <row r="910">
      <c r="D910" s="13"/>
      <c r="I910" s="13"/>
      <c r="M910" s="15"/>
    </row>
    <row r="911">
      <c r="D911" s="13"/>
      <c r="I911" s="13"/>
      <c r="M911" s="15"/>
    </row>
    <row r="912">
      <c r="D912" s="13"/>
      <c r="I912" s="13"/>
      <c r="M912" s="15"/>
    </row>
    <row r="913">
      <c r="D913" s="13"/>
      <c r="I913" s="13"/>
      <c r="M913" s="15"/>
    </row>
    <row r="914">
      <c r="D914" s="13"/>
      <c r="I914" s="13"/>
      <c r="M914" s="15"/>
    </row>
    <row r="915">
      <c r="D915" s="13"/>
      <c r="I915" s="13"/>
      <c r="M915" s="15"/>
    </row>
    <row r="916">
      <c r="D916" s="13"/>
      <c r="I916" s="13"/>
      <c r="M916" s="15"/>
    </row>
    <row r="917">
      <c r="D917" s="13"/>
      <c r="I917" s="13"/>
      <c r="M917" s="15"/>
    </row>
    <row r="918">
      <c r="D918" s="13"/>
      <c r="I918" s="13"/>
      <c r="M918" s="15"/>
    </row>
    <row r="919">
      <c r="D919" s="13"/>
      <c r="I919" s="13"/>
      <c r="M919" s="15"/>
    </row>
    <row r="920">
      <c r="D920" s="13"/>
      <c r="I920" s="13"/>
      <c r="M920" s="15"/>
    </row>
    <row r="921">
      <c r="D921" s="13"/>
      <c r="I921" s="13"/>
      <c r="M921" s="15"/>
    </row>
    <row r="922">
      <c r="D922" s="13"/>
      <c r="I922" s="13"/>
      <c r="M922" s="15"/>
    </row>
    <row r="923">
      <c r="D923" s="13"/>
      <c r="I923" s="13"/>
      <c r="M923" s="15"/>
    </row>
    <row r="924">
      <c r="D924" s="13"/>
      <c r="I924" s="13"/>
      <c r="M924" s="15"/>
    </row>
    <row r="925">
      <c r="D925" s="13"/>
      <c r="I925" s="13"/>
      <c r="M925" s="15"/>
    </row>
    <row r="926">
      <c r="D926" s="13"/>
      <c r="I926" s="13"/>
      <c r="M926" s="15"/>
    </row>
    <row r="927">
      <c r="D927" s="13"/>
      <c r="I927" s="13"/>
      <c r="M927" s="15"/>
    </row>
    <row r="928">
      <c r="D928" s="13"/>
      <c r="I928" s="13"/>
      <c r="M928" s="15"/>
    </row>
    <row r="929">
      <c r="D929" s="13"/>
      <c r="I929" s="13"/>
      <c r="M929" s="15"/>
    </row>
    <row r="930">
      <c r="D930" s="13"/>
      <c r="I930" s="13"/>
      <c r="M930" s="15"/>
    </row>
    <row r="931">
      <c r="D931" s="13"/>
      <c r="I931" s="13"/>
      <c r="M931" s="15"/>
    </row>
    <row r="932">
      <c r="D932" s="13"/>
      <c r="I932" s="13"/>
      <c r="M932" s="15"/>
    </row>
    <row r="933">
      <c r="D933" s="13"/>
      <c r="I933" s="13"/>
      <c r="M933" s="15"/>
    </row>
    <row r="934">
      <c r="D934" s="13"/>
      <c r="I934" s="13"/>
      <c r="M934" s="15"/>
    </row>
    <row r="935">
      <c r="D935" s="13"/>
      <c r="I935" s="13"/>
      <c r="M935" s="15"/>
    </row>
    <row r="936">
      <c r="D936" s="13"/>
      <c r="I936" s="13"/>
      <c r="M936" s="15"/>
    </row>
    <row r="937">
      <c r="D937" s="13"/>
      <c r="I937" s="13"/>
      <c r="M937" s="15"/>
    </row>
    <row r="938">
      <c r="D938" s="13"/>
      <c r="I938" s="13"/>
      <c r="M938" s="15"/>
    </row>
    <row r="939">
      <c r="D939" s="13"/>
      <c r="I939" s="13"/>
      <c r="M939" s="15"/>
    </row>
    <row r="940">
      <c r="D940" s="13"/>
      <c r="I940" s="13"/>
      <c r="M940" s="15"/>
    </row>
    <row r="941">
      <c r="D941" s="13"/>
      <c r="I941" s="13"/>
      <c r="M941" s="15"/>
    </row>
    <row r="942">
      <c r="D942" s="13"/>
      <c r="I942" s="13"/>
      <c r="M942" s="15"/>
    </row>
    <row r="943">
      <c r="D943" s="13"/>
      <c r="I943" s="13"/>
      <c r="M943" s="15"/>
    </row>
    <row r="944">
      <c r="D944" s="13"/>
      <c r="I944" s="13"/>
      <c r="M944" s="15"/>
    </row>
    <row r="945">
      <c r="D945" s="13"/>
      <c r="I945" s="13"/>
      <c r="M945" s="15"/>
    </row>
    <row r="946">
      <c r="D946" s="13"/>
      <c r="I946" s="13"/>
      <c r="M946" s="15"/>
    </row>
    <row r="947">
      <c r="D947" s="13"/>
      <c r="I947" s="13"/>
      <c r="M947" s="15"/>
    </row>
    <row r="948">
      <c r="D948" s="13"/>
      <c r="I948" s="13"/>
      <c r="M948" s="15"/>
    </row>
    <row r="949">
      <c r="D949" s="13"/>
      <c r="I949" s="13"/>
      <c r="M949" s="15"/>
    </row>
    <row r="950">
      <c r="D950" s="13"/>
      <c r="I950" s="13"/>
      <c r="M950" s="15"/>
    </row>
    <row r="951">
      <c r="D951" s="13"/>
      <c r="I951" s="13"/>
      <c r="M951" s="15"/>
    </row>
    <row r="952">
      <c r="D952" s="13"/>
      <c r="I952" s="13"/>
      <c r="M952" s="15"/>
    </row>
    <row r="953">
      <c r="D953" s="13"/>
      <c r="I953" s="13"/>
      <c r="M953" s="15"/>
    </row>
    <row r="954">
      <c r="D954" s="13"/>
      <c r="I954" s="13"/>
      <c r="M954" s="15"/>
    </row>
    <row r="955">
      <c r="D955" s="13"/>
      <c r="I955" s="13"/>
      <c r="M955" s="15"/>
    </row>
    <row r="956">
      <c r="D956" s="13"/>
      <c r="I956" s="13"/>
      <c r="M956" s="15"/>
    </row>
    <row r="957">
      <c r="D957" s="13"/>
      <c r="I957" s="13"/>
      <c r="M957" s="15"/>
    </row>
    <row r="958">
      <c r="D958" s="13"/>
      <c r="I958" s="13"/>
      <c r="M958" s="15"/>
    </row>
    <row r="959">
      <c r="D959" s="13"/>
      <c r="I959" s="13"/>
      <c r="M959" s="15"/>
    </row>
    <row r="960">
      <c r="D960" s="13"/>
      <c r="I960" s="13"/>
      <c r="M960" s="15"/>
    </row>
    <row r="961">
      <c r="D961" s="13"/>
      <c r="I961" s="13"/>
      <c r="M961" s="15"/>
    </row>
    <row r="962">
      <c r="D962" s="13"/>
      <c r="I962" s="13"/>
      <c r="M962" s="15"/>
    </row>
    <row r="963">
      <c r="D963" s="13"/>
      <c r="I963" s="13"/>
      <c r="M963" s="15"/>
    </row>
    <row r="964">
      <c r="D964" s="13"/>
      <c r="I964" s="13"/>
      <c r="M964" s="15"/>
    </row>
    <row r="965">
      <c r="D965" s="13"/>
      <c r="I965" s="13"/>
      <c r="M965" s="15"/>
    </row>
    <row r="966">
      <c r="D966" s="13"/>
      <c r="I966" s="13"/>
      <c r="M966" s="15"/>
    </row>
    <row r="967">
      <c r="D967" s="13"/>
      <c r="I967" s="13"/>
      <c r="M967" s="15"/>
    </row>
    <row r="968">
      <c r="D968" s="13"/>
      <c r="I968" s="13"/>
      <c r="M968" s="15"/>
    </row>
    <row r="969">
      <c r="D969" s="13"/>
      <c r="I969" s="13"/>
      <c r="M969" s="15"/>
    </row>
    <row r="970">
      <c r="D970" s="13"/>
      <c r="I970" s="13"/>
      <c r="M970" s="15"/>
    </row>
    <row r="971">
      <c r="D971" s="13"/>
      <c r="I971" s="13"/>
      <c r="M971" s="15"/>
    </row>
    <row r="972">
      <c r="D972" s="13"/>
      <c r="I972" s="13"/>
      <c r="M972" s="15"/>
    </row>
    <row r="973">
      <c r="D973" s="13"/>
      <c r="I973" s="13"/>
      <c r="M973" s="15"/>
    </row>
    <row r="974">
      <c r="D974" s="13"/>
      <c r="I974" s="13"/>
      <c r="M974" s="15"/>
    </row>
    <row r="975">
      <c r="D975" s="13"/>
      <c r="I975" s="13"/>
      <c r="M975" s="15"/>
    </row>
    <row r="976">
      <c r="D976" s="13"/>
      <c r="I976" s="13"/>
      <c r="M976" s="15"/>
    </row>
    <row r="977">
      <c r="D977" s="13"/>
      <c r="I977" s="13"/>
      <c r="M977" s="15"/>
    </row>
    <row r="978">
      <c r="D978" s="13"/>
      <c r="I978" s="13"/>
      <c r="M978" s="15"/>
    </row>
    <row r="979">
      <c r="D979" s="13"/>
      <c r="I979" s="13"/>
      <c r="M979" s="15"/>
    </row>
    <row r="980">
      <c r="D980" s="13"/>
      <c r="I980" s="13"/>
      <c r="M980" s="15"/>
    </row>
    <row r="981">
      <c r="D981" s="13"/>
      <c r="I981" s="13"/>
      <c r="M981" s="15"/>
    </row>
    <row r="982">
      <c r="D982" s="13"/>
      <c r="I982" s="13"/>
      <c r="M982" s="15"/>
    </row>
    <row r="983">
      <c r="D983" s="13"/>
      <c r="I983" s="13"/>
      <c r="M983" s="15"/>
    </row>
    <row r="984">
      <c r="D984" s="13"/>
      <c r="I984" s="13"/>
      <c r="M984" s="15"/>
    </row>
    <row r="985">
      <c r="D985" s="13"/>
      <c r="I985" s="13"/>
      <c r="M985" s="15"/>
    </row>
    <row r="986">
      <c r="D986" s="13"/>
      <c r="I986" s="13"/>
      <c r="M986" s="15"/>
    </row>
    <row r="987">
      <c r="D987" s="13"/>
      <c r="I987" s="13"/>
      <c r="M987" s="15"/>
    </row>
    <row r="988">
      <c r="D988" s="13"/>
      <c r="I988" s="13"/>
      <c r="M988" s="15"/>
    </row>
    <row r="989">
      <c r="D989" s="13"/>
      <c r="I989" s="13"/>
      <c r="M989" s="15"/>
    </row>
    <row r="990">
      <c r="D990" s="13"/>
      <c r="I990" s="13"/>
      <c r="M990" s="15"/>
    </row>
    <row r="991">
      <c r="D991" s="13"/>
      <c r="I991" s="13"/>
      <c r="M991" s="15"/>
    </row>
    <row r="992">
      <c r="D992" s="13"/>
      <c r="I992" s="13"/>
      <c r="M992" s="15"/>
    </row>
    <row r="993">
      <c r="D993" s="13"/>
      <c r="I993" s="13"/>
      <c r="M993" s="15"/>
    </row>
    <row r="994">
      <c r="D994" s="13"/>
      <c r="I994" s="13"/>
      <c r="M994" s="15"/>
    </row>
    <row r="995">
      <c r="D995" s="13"/>
      <c r="I995" s="13"/>
      <c r="M995" s="15"/>
    </row>
    <row r="996">
      <c r="D996" s="13"/>
      <c r="I996" s="13"/>
      <c r="M996" s="15"/>
    </row>
    <row r="997">
      <c r="D997" s="13"/>
      <c r="I997" s="13"/>
      <c r="M997" s="15"/>
    </row>
    <row r="998">
      <c r="D998" s="13"/>
      <c r="I998" s="13"/>
      <c r="M998" s="15"/>
    </row>
    <row r="999">
      <c r="D999" s="13"/>
      <c r="I999" s="13"/>
      <c r="M999" s="15"/>
    </row>
    <row r="1000">
      <c r="D1000" s="13"/>
      <c r="I1000" s="13"/>
      <c r="M100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7</v>
      </c>
      <c r="B1" s="7" t="s">
        <v>8</v>
      </c>
      <c r="C1" s="7" t="s">
        <v>10</v>
      </c>
      <c r="D1" s="16" t="s">
        <v>13</v>
      </c>
      <c r="E1" s="7" t="s">
        <v>15</v>
      </c>
      <c r="F1" s="7" t="s">
        <v>17</v>
      </c>
      <c r="G1" s="7" t="s">
        <v>20</v>
      </c>
      <c r="H1" s="17" t="s">
        <v>18</v>
      </c>
    </row>
    <row r="2">
      <c r="A2" s="12">
        <f t="array" ref="A2:A14">UNIQUE('Google Ads Solution'!B2:B1000)</f>
        <v>1</v>
      </c>
      <c r="B2" s="12">
        <f>SUMIF('Google Ads Solution'!$B:$B, A2, 'Google Ads Solution'!$C:$C)</f>
        <v>1740359</v>
      </c>
      <c r="C2" s="12">
        <f>SUMIF('Google Ads Solution'!$B:$B, A2, 'Google Ads Solution'!$E:$E)</f>
        <v>32482</v>
      </c>
      <c r="D2" s="18">
        <f>SUMIF('Google Ads Solution'!$B:$B, A2, 'Google Ads Solution'!$H:$H)</f>
        <v>49763.69</v>
      </c>
      <c r="E2" s="12">
        <f>SUMIF('Google Ads Solution'!$B:$B, A2, 'Google Ads Solution'!$J:$J)</f>
        <v>599</v>
      </c>
      <c r="F2" s="18">
        <f>SUMIF('Google Ads Solution'!$B:$B, A2, 'Google Ads Solution'!$L:$L)</f>
        <v>98964.47</v>
      </c>
      <c r="G2" s="18">
        <f t="shared" ref="G2:G13" si="1">F2/E2</f>
        <v>165.2161436</v>
      </c>
      <c r="H2" s="19">
        <f t="shared" ref="H2:H13" si="2">F2/D2</f>
        <v>1.988688339</v>
      </c>
    </row>
    <row r="3">
      <c r="A3" s="12">
        <v>2.0</v>
      </c>
      <c r="B3" s="12">
        <f>SUMIF('Google Ads Solution'!$B:$B, A3, 'Google Ads Solution'!$C:$C)</f>
        <v>1595624</v>
      </c>
      <c r="C3" s="12">
        <f>SUMIF('Google Ads Solution'!$B:$B, A3, 'Google Ads Solution'!$E:$E)</f>
        <v>31492</v>
      </c>
      <c r="D3" s="18">
        <f>SUMIF('Google Ads Solution'!$B:$B, A3, 'Google Ads Solution'!$H:$H)</f>
        <v>46484.56</v>
      </c>
      <c r="E3" s="12">
        <f>SUMIF('Google Ads Solution'!$B:$B, A3, 'Google Ads Solution'!$J:$J)</f>
        <v>555</v>
      </c>
      <c r="F3" s="12">
        <f>SUMIF('Google Ads Solution'!$B:$B, A3, 'Google Ads Solution'!$L:$L)</f>
        <v>91888.7</v>
      </c>
      <c r="G3" s="12">
        <f t="shared" si="1"/>
        <v>165.5652252</v>
      </c>
      <c r="H3" s="19">
        <f t="shared" si="2"/>
        <v>1.976757444</v>
      </c>
    </row>
    <row r="4">
      <c r="A4" s="12">
        <v>3.0</v>
      </c>
      <c r="B4" s="12">
        <f>SUMIF('Google Ads Solution'!$B:$B, A4, 'Google Ads Solution'!$C:$C)</f>
        <v>1563829</v>
      </c>
      <c r="C4" s="12">
        <f>SUMIF('Google Ads Solution'!$B:$B, A4, 'Google Ads Solution'!$E:$E)</f>
        <v>31976</v>
      </c>
      <c r="D4" s="18">
        <f>SUMIF('Google Ads Solution'!$B:$B, A4, 'Google Ads Solution'!$H:$H)</f>
        <v>46468.54</v>
      </c>
      <c r="E4" s="12">
        <f>SUMIF('Google Ads Solution'!$B:$B, A4, 'Google Ads Solution'!$J:$J)</f>
        <v>606</v>
      </c>
      <c r="F4" s="12">
        <f>SUMIF('Google Ads Solution'!$B:$B, A4, 'Google Ads Solution'!$L:$L)</f>
        <v>91450.71</v>
      </c>
      <c r="G4" s="12">
        <f t="shared" si="1"/>
        <v>150.9087624</v>
      </c>
      <c r="H4" s="19">
        <f t="shared" si="2"/>
        <v>1.968013413</v>
      </c>
    </row>
    <row r="5">
      <c r="A5" s="12">
        <v>4.0</v>
      </c>
      <c r="B5" s="12">
        <f>SUMIF('Google Ads Solution'!$B:$B, A5, 'Google Ads Solution'!$C:$C)</f>
        <v>1946153</v>
      </c>
      <c r="C5" s="12">
        <f>SUMIF('Google Ads Solution'!$B:$B, A5, 'Google Ads Solution'!$E:$E)</f>
        <v>37422</v>
      </c>
      <c r="D5" s="18">
        <f>SUMIF('Google Ads Solution'!$B:$B, A5, 'Google Ads Solution'!$H:$H)</f>
        <v>59350.63</v>
      </c>
      <c r="E5" s="12">
        <f>SUMIF('Google Ads Solution'!$B:$B, A5, 'Google Ads Solution'!$J:$J)</f>
        <v>730</v>
      </c>
      <c r="F5" s="12">
        <f>SUMIF('Google Ads Solution'!$B:$B, A5, 'Google Ads Solution'!$L:$L)</f>
        <v>111557.62</v>
      </c>
      <c r="G5" s="12">
        <f t="shared" si="1"/>
        <v>152.8186575</v>
      </c>
      <c r="H5" s="19">
        <f t="shared" si="2"/>
        <v>1.879636661</v>
      </c>
    </row>
    <row r="6">
      <c r="A6" s="12">
        <v>5.0</v>
      </c>
      <c r="B6" s="12">
        <f>SUMIF('Google Ads Solution'!$B:$B, A6, 'Google Ads Solution'!$C:$C)</f>
        <v>1829119</v>
      </c>
      <c r="C6" s="12">
        <f>SUMIF('Google Ads Solution'!$B:$B, A6, 'Google Ads Solution'!$E:$E)</f>
        <v>36132</v>
      </c>
      <c r="D6" s="18">
        <f>SUMIF('Google Ads Solution'!$B:$B, A6, 'Google Ads Solution'!$H:$H)</f>
        <v>57028.77</v>
      </c>
      <c r="E6" s="12">
        <f>SUMIF('Google Ads Solution'!$B:$B, A6, 'Google Ads Solution'!$J:$J)</f>
        <v>698</v>
      </c>
      <c r="F6" s="12">
        <f>SUMIF('Google Ads Solution'!$B:$B, A6, 'Google Ads Solution'!$L:$L)</f>
        <v>106923.8</v>
      </c>
      <c r="G6" s="12">
        <f t="shared" si="1"/>
        <v>153.1859599</v>
      </c>
      <c r="H6" s="19">
        <f t="shared" si="2"/>
        <v>1.874909804</v>
      </c>
    </row>
    <row r="7">
      <c r="A7" s="12">
        <v>6.0</v>
      </c>
      <c r="B7" s="12">
        <f>SUMIF('Google Ads Solution'!$B:$B, A7, 'Google Ads Solution'!$C:$C)</f>
        <v>1734777</v>
      </c>
      <c r="C7" s="12">
        <f>SUMIF('Google Ads Solution'!$B:$B, A7, 'Google Ads Solution'!$E:$E)</f>
        <v>37280</v>
      </c>
      <c r="D7" s="18">
        <f>SUMIF('Google Ads Solution'!$B:$B, A7, 'Google Ads Solution'!$H:$H)</f>
        <v>57115.37</v>
      </c>
      <c r="E7" s="12">
        <f>SUMIF('Google Ads Solution'!$B:$B, A7, 'Google Ads Solution'!$J:$J)</f>
        <v>710</v>
      </c>
      <c r="F7" s="12">
        <f>SUMIF('Google Ads Solution'!$B:$B, A7, 'Google Ads Solution'!$L:$L)</f>
        <v>111327.35</v>
      </c>
      <c r="G7" s="12">
        <f t="shared" si="1"/>
        <v>156.7990845</v>
      </c>
      <c r="H7" s="19">
        <f t="shared" si="2"/>
        <v>1.949166223</v>
      </c>
    </row>
    <row r="8">
      <c r="A8" s="12">
        <v>7.0</v>
      </c>
      <c r="B8" s="12">
        <f>SUMIF('Google Ads Solution'!$B:$B, A8, 'Google Ads Solution'!$C:$C)</f>
        <v>1648050</v>
      </c>
      <c r="C8" s="12">
        <f>SUMIF('Google Ads Solution'!$B:$B, A8, 'Google Ads Solution'!$E:$E)</f>
        <v>35464</v>
      </c>
      <c r="D8" s="18">
        <f>SUMIF('Google Ads Solution'!$B:$B, A8, 'Google Ads Solution'!$H:$H)</f>
        <v>53040.79</v>
      </c>
      <c r="E8" s="12">
        <f>SUMIF('Google Ads Solution'!$B:$B, A8, 'Google Ads Solution'!$J:$J)</f>
        <v>622</v>
      </c>
      <c r="F8" s="12">
        <f>SUMIF('Google Ads Solution'!$B:$B, A8, 'Google Ads Solution'!$L:$L)</f>
        <v>96753.23</v>
      </c>
      <c r="G8" s="12">
        <f t="shared" si="1"/>
        <v>155.5518167</v>
      </c>
      <c r="H8" s="19">
        <f t="shared" si="2"/>
        <v>1.824128751</v>
      </c>
    </row>
    <row r="9">
      <c r="A9" s="12">
        <v>8.0</v>
      </c>
      <c r="B9" s="12">
        <f>SUMIF('Google Ads Solution'!$B:$B, A9, 'Google Ads Solution'!$C:$C)</f>
        <v>1668702</v>
      </c>
      <c r="C9" s="12">
        <f>SUMIF('Google Ads Solution'!$B:$B, A9, 'Google Ads Solution'!$E:$E)</f>
        <v>32685</v>
      </c>
      <c r="D9" s="18">
        <f>SUMIF('Google Ads Solution'!$B:$B, A9, 'Google Ads Solution'!$H:$H)</f>
        <v>49771.89</v>
      </c>
      <c r="E9" s="12">
        <f>SUMIF('Google Ads Solution'!$B:$B, A9, 'Google Ads Solution'!$J:$J)</f>
        <v>594</v>
      </c>
      <c r="F9" s="12">
        <f>SUMIF('Google Ads Solution'!$B:$B, A9, 'Google Ads Solution'!$L:$L)</f>
        <v>90231.35</v>
      </c>
      <c r="G9" s="12">
        <f t="shared" si="1"/>
        <v>151.9046296</v>
      </c>
      <c r="H9" s="19">
        <f t="shared" si="2"/>
        <v>1.812897802</v>
      </c>
    </row>
    <row r="10">
      <c r="A10" s="12">
        <v>9.0</v>
      </c>
      <c r="B10" s="12">
        <f>SUMIF('Google Ads Solution'!$B:$B, A10, 'Google Ads Solution'!$C:$C)</f>
        <v>1515813</v>
      </c>
      <c r="C10" s="12">
        <f>SUMIF('Google Ads Solution'!$B:$B, A10, 'Google Ads Solution'!$E:$E)</f>
        <v>29053</v>
      </c>
      <c r="D10" s="18">
        <f>SUMIF('Google Ads Solution'!$B:$B, A10, 'Google Ads Solution'!$H:$H)</f>
        <v>43201.98</v>
      </c>
      <c r="E10" s="12">
        <f>SUMIF('Google Ads Solution'!$B:$B, A10, 'Google Ads Solution'!$J:$J)</f>
        <v>546</v>
      </c>
      <c r="F10" s="12">
        <f>SUMIF('Google Ads Solution'!$B:$B, A10, 'Google Ads Solution'!$L:$L)</f>
        <v>87559.49</v>
      </c>
      <c r="G10" s="12">
        <f t="shared" si="1"/>
        <v>160.3653663</v>
      </c>
      <c r="H10" s="19">
        <f t="shared" si="2"/>
        <v>2.026747154</v>
      </c>
    </row>
    <row r="11">
      <c r="A11" s="12">
        <v>10.0</v>
      </c>
      <c r="B11" s="12">
        <f>SUMIF('Google Ads Solution'!$B:$B, A11, 'Google Ads Solution'!$C:$C)</f>
        <v>1799182</v>
      </c>
      <c r="C11" s="12">
        <f>SUMIF('Google Ads Solution'!$B:$B, A11, 'Google Ads Solution'!$E:$E)</f>
        <v>36497</v>
      </c>
      <c r="D11" s="18">
        <f>SUMIF('Google Ads Solution'!$B:$B, A11, 'Google Ads Solution'!$H:$H)</f>
        <v>50083.93</v>
      </c>
      <c r="E11" s="12">
        <f>SUMIF('Google Ads Solution'!$B:$B, A11, 'Google Ads Solution'!$J:$J)</f>
        <v>707</v>
      </c>
      <c r="F11" s="12">
        <f>SUMIF('Google Ads Solution'!$B:$B, A11, 'Google Ads Solution'!$L:$L)</f>
        <v>103494.6</v>
      </c>
      <c r="G11" s="12">
        <f t="shared" si="1"/>
        <v>146.3855728</v>
      </c>
      <c r="H11" s="19">
        <f t="shared" si="2"/>
        <v>2.066423302</v>
      </c>
    </row>
    <row r="12">
      <c r="A12" s="12">
        <v>11.0</v>
      </c>
      <c r="B12" s="12">
        <f>SUMIF('Google Ads Solution'!$B:$B, A12, 'Google Ads Solution'!$C:$C)</f>
        <v>1562221</v>
      </c>
      <c r="C12" s="12">
        <f>SUMIF('Google Ads Solution'!$B:$B, A12, 'Google Ads Solution'!$E:$E)</f>
        <v>30981</v>
      </c>
      <c r="D12" s="18">
        <f>SUMIF('Google Ads Solution'!$B:$B, A12, 'Google Ads Solution'!$H:$H)</f>
        <v>43304.72</v>
      </c>
      <c r="E12" s="12">
        <f>SUMIF('Google Ads Solution'!$B:$B, A12, 'Google Ads Solution'!$J:$J)</f>
        <v>567</v>
      </c>
      <c r="F12" s="12">
        <f>SUMIF('Google Ads Solution'!$B:$B, A12, 'Google Ads Solution'!$L:$L)</f>
        <v>88827.33</v>
      </c>
      <c r="G12" s="12">
        <f t="shared" si="1"/>
        <v>156.6619577</v>
      </c>
      <c r="H12" s="19">
        <f t="shared" si="2"/>
        <v>2.051215895</v>
      </c>
    </row>
    <row r="13">
      <c r="A13" s="12">
        <v>12.0</v>
      </c>
      <c r="B13" s="12">
        <f>SUMIF('Google Ads Solution'!$B:$B, A13, 'Google Ads Solution'!$C:$C)</f>
        <v>2323911</v>
      </c>
      <c r="C13" s="12">
        <f>SUMIF('Google Ads Solution'!$B:$B, A13, 'Google Ads Solution'!$E:$E)</f>
        <v>47450</v>
      </c>
      <c r="D13" s="18">
        <f>SUMIF('Google Ads Solution'!$B:$B, A13, 'Google Ads Solution'!$H:$H)</f>
        <v>70220.29</v>
      </c>
      <c r="E13" s="12">
        <f>SUMIF('Google Ads Solution'!$B:$B, A13, 'Google Ads Solution'!$J:$J)</f>
        <v>829</v>
      </c>
      <c r="F13" s="12">
        <f>SUMIF('Google Ads Solution'!$B:$B, A13, 'Google Ads Solution'!$L:$L)</f>
        <v>132569.52</v>
      </c>
      <c r="G13" s="12">
        <f t="shared" si="1"/>
        <v>159.9149819</v>
      </c>
      <c r="H13" s="19">
        <f t="shared" si="2"/>
        <v>1.887909036</v>
      </c>
    </row>
    <row r="14">
      <c r="A14" s="12"/>
      <c r="D14" s="18"/>
      <c r="H14" s="19"/>
    </row>
    <row r="15">
      <c r="D15" s="18"/>
      <c r="H15" s="19"/>
    </row>
    <row r="16">
      <c r="D16" s="18"/>
      <c r="H16" s="19"/>
    </row>
    <row r="17">
      <c r="D17" s="18"/>
      <c r="H17" s="19"/>
    </row>
    <row r="18">
      <c r="D18" s="18"/>
      <c r="H18" s="19"/>
    </row>
    <row r="19">
      <c r="D19" s="18"/>
      <c r="H19" s="19"/>
    </row>
    <row r="20">
      <c r="D20" s="18"/>
      <c r="H20" s="19"/>
    </row>
    <row r="21">
      <c r="D21" s="18"/>
      <c r="H21" s="19"/>
    </row>
    <row r="22">
      <c r="D22" s="18"/>
      <c r="H22" s="19"/>
    </row>
    <row r="23">
      <c r="D23" s="18"/>
      <c r="H23" s="19"/>
    </row>
    <row r="24">
      <c r="D24" s="18"/>
      <c r="H24" s="19"/>
    </row>
    <row r="25">
      <c r="D25" s="18"/>
      <c r="H25" s="19"/>
    </row>
    <row r="26">
      <c r="D26" s="18"/>
      <c r="H26" s="19"/>
    </row>
    <row r="27">
      <c r="D27" s="18"/>
      <c r="H27" s="19"/>
    </row>
    <row r="28">
      <c r="D28" s="18"/>
      <c r="H28" s="19"/>
    </row>
    <row r="29">
      <c r="D29" s="18"/>
      <c r="H29" s="19"/>
    </row>
    <row r="30">
      <c r="D30" s="18"/>
      <c r="H30" s="19"/>
    </row>
    <row r="31">
      <c r="D31" s="18"/>
      <c r="H31" s="19"/>
    </row>
    <row r="32">
      <c r="D32" s="18"/>
      <c r="H32" s="19"/>
    </row>
    <row r="33">
      <c r="D33" s="18"/>
      <c r="H33" s="19"/>
    </row>
    <row r="34">
      <c r="D34" s="18"/>
      <c r="H34" s="19"/>
    </row>
    <row r="35">
      <c r="D35" s="18"/>
      <c r="H35" s="19"/>
    </row>
    <row r="36">
      <c r="D36" s="18"/>
      <c r="H36" s="19"/>
    </row>
    <row r="37">
      <c r="D37" s="18"/>
      <c r="H37" s="19"/>
    </row>
    <row r="38">
      <c r="D38" s="18"/>
      <c r="H38" s="19"/>
    </row>
    <row r="39">
      <c r="D39" s="18"/>
      <c r="H39" s="19"/>
    </row>
    <row r="40">
      <c r="D40" s="18"/>
      <c r="H40" s="19"/>
    </row>
    <row r="41">
      <c r="D41" s="18"/>
      <c r="H41" s="19"/>
    </row>
    <row r="42">
      <c r="D42" s="18"/>
      <c r="H42" s="19"/>
    </row>
    <row r="43">
      <c r="D43" s="18"/>
      <c r="H43" s="19"/>
    </row>
    <row r="44">
      <c r="D44" s="18"/>
      <c r="H44" s="19"/>
    </row>
    <row r="45">
      <c r="D45" s="18"/>
      <c r="H45" s="19"/>
    </row>
    <row r="46">
      <c r="D46" s="18"/>
      <c r="H46" s="19"/>
    </row>
    <row r="47">
      <c r="D47" s="18"/>
      <c r="H47" s="19"/>
    </row>
    <row r="48">
      <c r="D48" s="18"/>
      <c r="H48" s="19"/>
    </row>
    <row r="49">
      <c r="D49" s="18"/>
      <c r="H49" s="19"/>
    </row>
    <row r="50">
      <c r="D50" s="18"/>
      <c r="H50" s="19"/>
    </row>
    <row r="51">
      <c r="D51" s="18"/>
      <c r="H51" s="19"/>
    </row>
    <row r="52">
      <c r="D52" s="18"/>
      <c r="H52" s="19"/>
    </row>
    <row r="53">
      <c r="D53" s="18"/>
      <c r="H53" s="19"/>
    </row>
    <row r="54">
      <c r="D54" s="18"/>
      <c r="H54" s="19"/>
    </row>
    <row r="55">
      <c r="D55" s="18"/>
      <c r="H55" s="19"/>
    </row>
    <row r="56">
      <c r="D56" s="18"/>
      <c r="H56" s="19"/>
    </row>
    <row r="57">
      <c r="D57" s="18"/>
      <c r="H57" s="19"/>
    </row>
    <row r="58">
      <c r="D58" s="18"/>
      <c r="H58" s="19"/>
    </row>
    <row r="59">
      <c r="D59" s="18"/>
      <c r="H59" s="19"/>
    </row>
    <row r="60">
      <c r="D60" s="18"/>
      <c r="H60" s="19"/>
    </row>
    <row r="61">
      <c r="D61" s="18"/>
      <c r="H61" s="19"/>
    </row>
    <row r="62">
      <c r="D62" s="18"/>
      <c r="H62" s="19"/>
    </row>
    <row r="63">
      <c r="D63" s="18"/>
      <c r="H63" s="19"/>
    </row>
    <row r="64">
      <c r="D64" s="18"/>
      <c r="H64" s="19"/>
    </row>
    <row r="65">
      <c r="D65" s="18"/>
      <c r="H65" s="19"/>
    </row>
    <row r="66">
      <c r="D66" s="18"/>
      <c r="H66" s="19"/>
    </row>
    <row r="67">
      <c r="D67" s="18"/>
      <c r="H67" s="19"/>
    </row>
    <row r="68">
      <c r="D68" s="18"/>
      <c r="H68" s="19"/>
    </row>
    <row r="69">
      <c r="D69" s="18"/>
      <c r="H69" s="19"/>
    </row>
    <row r="70">
      <c r="D70" s="18"/>
      <c r="H70" s="19"/>
    </row>
    <row r="71">
      <c r="D71" s="18"/>
      <c r="H71" s="19"/>
    </row>
    <row r="72">
      <c r="D72" s="18"/>
      <c r="H72" s="19"/>
    </row>
    <row r="73">
      <c r="D73" s="18"/>
      <c r="H73" s="19"/>
    </row>
    <row r="74">
      <c r="D74" s="18"/>
      <c r="H74" s="19"/>
    </row>
    <row r="75">
      <c r="D75" s="18"/>
      <c r="H75" s="19"/>
    </row>
    <row r="76">
      <c r="D76" s="18"/>
      <c r="H76" s="19"/>
    </row>
    <row r="77">
      <c r="D77" s="18"/>
      <c r="H77" s="19"/>
    </row>
    <row r="78">
      <c r="D78" s="18"/>
      <c r="H78" s="19"/>
    </row>
    <row r="79">
      <c r="D79" s="18"/>
      <c r="H79" s="19"/>
    </row>
    <row r="80">
      <c r="D80" s="18"/>
      <c r="H80" s="19"/>
    </row>
    <row r="81">
      <c r="D81" s="18"/>
      <c r="H81" s="19"/>
    </row>
    <row r="82">
      <c r="D82" s="18"/>
      <c r="H82" s="19"/>
    </row>
    <row r="83">
      <c r="D83" s="18"/>
      <c r="H83" s="19"/>
    </row>
    <row r="84">
      <c r="D84" s="18"/>
      <c r="H84" s="19"/>
    </row>
    <row r="85">
      <c r="D85" s="18"/>
      <c r="H85" s="19"/>
    </row>
    <row r="86">
      <c r="D86" s="18"/>
      <c r="H86" s="19"/>
    </row>
    <row r="87">
      <c r="D87" s="18"/>
      <c r="H87" s="19"/>
    </row>
    <row r="88">
      <c r="D88" s="18"/>
      <c r="H88" s="19"/>
    </row>
    <row r="89">
      <c r="D89" s="18"/>
      <c r="H89" s="19"/>
    </row>
    <row r="90">
      <c r="D90" s="18"/>
      <c r="H90" s="19"/>
    </row>
    <row r="91">
      <c r="D91" s="18"/>
      <c r="H91" s="19"/>
    </row>
    <row r="92">
      <c r="D92" s="18"/>
      <c r="H92" s="19"/>
    </row>
    <row r="93">
      <c r="D93" s="18"/>
      <c r="H93" s="19"/>
    </row>
    <row r="94">
      <c r="D94" s="18"/>
      <c r="H94" s="19"/>
    </row>
    <row r="95">
      <c r="D95" s="18"/>
      <c r="H95" s="19"/>
    </row>
    <row r="96">
      <c r="D96" s="18"/>
      <c r="H96" s="19"/>
    </row>
    <row r="97">
      <c r="D97" s="18"/>
      <c r="H97" s="19"/>
    </row>
    <row r="98">
      <c r="D98" s="18"/>
      <c r="H98" s="19"/>
    </row>
    <row r="99">
      <c r="D99" s="18"/>
      <c r="H99" s="19"/>
    </row>
    <row r="100">
      <c r="D100" s="18"/>
      <c r="H100" s="19"/>
    </row>
    <row r="101">
      <c r="D101" s="18"/>
      <c r="H101" s="19"/>
    </row>
    <row r="102">
      <c r="D102" s="18"/>
      <c r="H102" s="19"/>
    </row>
    <row r="103">
      <c r="D103" s="18"/>
      <c r="H103" s="19"/>
    </row>
    <row r="104">
      <c r="D104" s="18"/>
      <c r="H104" s="19"/>
    </row>
    <row r="105">
      <c r="D105" s="18"/>
      <c r="H105" s="19"/>
    </row>
    <row r="106">
      <c r="D106" s="18"/>
      <c r="H106" s="19"/>
    </row>
    <row r="107">
      <c r="D107" s="18"/>
      <c r="H107" s="19"/>
    </row>
    <row r="108">
      <c r="D108" s="18"/>
      <c r="H108" s="19"/>
    </row>
    <row r="109">
      <c r="D109" s="18"/>
      <c r="H109" s="19"/>
    </row>
    <row r="110">
      <c r="D110" s="18"/>
      <c r="H110" s="19"/>
    </row>
    <row r="111">
      <c r="D111" s="18"/>
      <c r="H111" s="19"/>
    </row>
    <row r="112">
      <c r="D112" s="18"/>
      <c r="H112" s="19"/>
    </row>
    <row r="113">
      <c r="D113" s="18"/>
      <c r="H113" s="19"/>
    </row>
    <row r="114">
      <c r="D114" s="18"/>
      <c r="H114" s="19"/>
    </row>
    <row r="115">
      <c r="D115" s="18"/>
      <c r="H115" s="19"/>
    </row>
    <row r="116">
      <c r="D116" s="18"/>
      <c r="H116" s="19"/>
    </row>
    <row r="117">
      <c r="D117" s="18"/>
      <c r="H117" s="19"/>
    </row>
    <row r="118">
      <c r="D118" s="18"/>
      <c r="H118" s="19"/>
    </row>
    <row r="119">
      <c r="D119" s="18"/>
      <c r="H119" s="19"/>
    </row>
    <row r="120">
      <c r="D120" s="18"/>
      <c r="H120" s="19"/>
    </row>
    <row r="121">
      <c r="D121" s="18"/>
      <c r="H121" s="19"/>
    </row>
    <row r="122">
      <c r="D122" s="18"/>
      <c r="H122" s="19"/>
    </row>
    <row r="123">
      <c r="D123" s="18"/>
      <c r="H123" s="19"/>
    </row>
    <row r="124">
      <c r="D124" s="18"/>
      <c r="H124" s="19"/>
    </row>
    <row r="125">
      <c r="D125" s="18"/>
      <c r="H125" s="19"/>
    </row>
    <row r="126">
      <c r="D126" s="18"/>
      <c r="H126" s="19"/>
    </row>
    <row r="127">
      <c r="D127" s="18"/>
      <c r="H127" s="19"/>
    </row>
    <row r="128">
      <c r="D128" s="18"/>
      <c r="H128" s="19"/>
    </row>
    <row r="129">
      <c r="D129" s="18"/>
      <c r="H129" s="19"/>
    </row>
    <row r="130">
      <c r="D130" s="18"/>
      <c r="H130" s="19"/>
    </row>
    <row r="131">
      <c r="D131" s="18"/>
      <c r="H131" s="19"/>
    </row>
    <row r="132">
      <c r="D132" s="18"/>
      <c r="H132" s="19"/>
    </row>
    <row r="133">
      <c r="D133" s="18"/>
      <c r="H133" s="19"/>
    </row>
    <row r="134">
      <c r="D134" s="18"/>
      <c r="H134" s="19"/>
    </row>
    <row r="135">
      <c r="D135" s="18"/>
      <c r="H135" s="19"/>
    </row>
    <row r="136">
      <c r="D136" s="18"/>
      <c r="H136" s="19"/>
    </row>
    <row r="137">
      <c r="D137" s="18"/>
      <c r="H137" s="19"/>
    </row>
    <row r="138">
      <c r="D138" s="18"/>
      <c r="H138" s="19"/>
    </row>
    <row r="139">
      <c r="D139" s="18"/>
      <c r="H139" s="19"/>
    </row>
    <row r="140">
      <c r="D140" s="18"/>
      <c r="H140" s="19"/>
    </row>
    <row r="141">
      <c r="D141" s="18"/>
      <c r="H141" s="19"/>
    </row>
    <row r="142">
      <c r="D142" s="18"/>
      <c r="H142" s="19"/>
    </row>
    <row r="143">
      <c r="D143" s="18"/>
      <c r="H143" s="19"/>
    </row>
    <row r="144">
      <c r="D144" s="18"/>
      <c r="H144" s="19"/>
    </row>
    <row r="145">
      <c r="D145" s="18"/>
      <c r="H145" s="19"/>
    </row>
    <row r="146">
      <c r="D146" s="18"/>
      <c r="H146" s="19"/>
    </row>
    <row r="147">
      <c r="D147" s="18"/>
      <c r="H147" s="19"/>
    </row>
    <row r="148">
      <c r="D148" s="18"/>
      <c r="H148" s="19"/>
    </row>
    <row r="149">
      <c r="D149" s="18"/>
      <c r="H149" s="19"/>
    </row>
    <row r="150">
      <c r="D150" s="18"/>
      <c r="H150" s="19"/>
    </row>
    <row r="151">
      <c r="D151" s="18"/>
      <c r="H151" s="19"/>
    </row>
    <row r="152">
      <c r="D152" s="18"/>
      <c r="H152" s="19"/>
    </row>
    <row r="153">
      <c r="D153" s="18"/>
      <c r="H153" s="19"/>
    </row>
    <row r="154">
      <c r="D154" s="18"/>
      <c r="H154" s="19"/>
    </row>
    <row r="155">
      <c r="D155" s="18"/>
      <c r="H155" s="19"/>
    </row>
    <row r="156">
      <c r="D156" s="18"/>
      <c r="H156" s="19"/>
    </row>
    <row r="157">
      <c r="D157" s="18"/>
      <c r="H157" s="19"/>
    </row>
    <row r="158">
      <c r="D158" s="18"/>
      <c r="H158" s="19"/>
    </row>
    <row r="159">
      <c r="D159" s="18"/>
      <c r="H159" s="19"/>
    </row>
    <row r="160">
      <c r="D160" s="18"/>
      <c r="H160" s="19"/>
    </row>
    <row r="161">
      <c r="D161" s="18"/>
      <c r="H161" s="19"/>
    </row>
    <row r="162">
      <c r="D162" s="18"/>
      <c r="H162" s="19"/>
    </row>
    <row r="163">
      <c r="D163" s="18"/>
      <c r="H163" s="19"/>
    </row>
    <row r="164">
      <c r="D164" s="18"/>
      <c r="H164" s="19"/>
    </row>
    <row r="165">
      <c r="D165" s="18"/>
      <c r="H165" s="19"/>
    </row>
    <row r="166">
      <c r="D166" s="18"/>
      <c r="H166" s="19"/>
    </row>
    <row r="167">
      <c r="D167" s="18"/>
      <c r="H167" s="19"/>
    </row>
    <row r="168">
      <c r="D168" s="18"/>
      <c r="H168" s="19"/>
    </row>
    <row r="169">
      <c r="D169" s="18"/>
      <c r="H169" s="19"/>
    </row>
    <row r="170">
      <c r="D170" s="18"/>
      <c r="H170" s="19"/>
    </row>
    <row r="171">
      <c r="D171" s="18"/>
      <c r="H171" s="19"/>
    </row>
    <row r="172">
      <c r="D172" s="18"/>
      <c r="H172" s="19"/>
    </row>
    <row r="173">
      <c r="D173" s="18"/>
      <c r="H173" s="19"/>
    </row>
    <row r="174">
      <c r="D174" s="18"/>
      <c r="H174" s="19"/>
    </row>
    <row r="175">
      <c r="D175" s="18"/>
      <c r="H175" s="19"/>
    </row>
    <row r="176">
      <c r="D176" s="18"/>
      <c r="H176" s="19"/>
    </row>
    <row r="177">
      <c r="D177" s="18"/>
      <c r="H177" s="19"/>
    </row>
    <row r="178">
      <c r="D178" s="18"/>
      <c r="H178" s="19"/>
    </row>
    <row r="179">
      <c r="D179" s="18"/>
      <c r="H179" s="19"/>
    </row>
    <row r="180">
      <c r="D180" s="18"/>
      <c r="H180" s="19"/>
    </row>
    <row r="181">
      <c r="D181" s="18"/>
      <c r="H181" s="19"/>
    </row>
    <row r="182">
      <c r="D182" s="18"/>
      <c r="H182" s="19"/>
    </row>
    <row r="183">
      <c r="D183" s="18"/>
      <c r="H183" s="19"/>
    </row>
    <row r="184">
      <c r="D184" s="18"/>
      <c r="H184" s="19"/>
    </row>
    <row r="185">
      <c r="D185" s="18"/>
      <c r="H185" s="19"/>
    </row>
    <row r="186">
      <c r="D186" s="18"/>
      <c r="H186" s="19"/>
    </row>
    <row r="187">
      <c r="D187" s="18"/>
      <c r="H187" s="19"/>
    </row>
    <row r="188">
      <c r="D188" s="18"/>
      <c r="H188" s="19"/>
    </row>
    <row r="189">
      <c r="D189" s="18"/>
      <c r="H189" s="19"/>
    </row>
    <row r="190">
      <c r="D190" s="18"/>
      <c r="H190" s="19"/>
    </row>
    <row r="191">
      <c r="D191" s="18"/>
      <c r="H191" s="19"/>
    </row>
    <row r="192">
      <c r="D192" s="18"/>
      <c r="H192" s="19"/>
    </row>
    <row r="193">
      <c r="D193" s="18"/>
      <c r="H193" s="19"/>
    </row>
    <row r="194">
      <c r="D194" s="18"/>
      <c r="H194" s="19"/>
    </row>
    <row r="195">
      <c r="D195" s="18"/>
      <c r="H195" s="19"/>
    </row>
    <row r="196">
      <c r="D196" s="18"/>
      <c r="H196" s="19"/>
    </row>
    <row r="197">
      <c r="D197" s="18"/>
      <c r="H197" s="19"/>
    </row>
    <row r="198">
      <c r="D198" s="18"/>
      <c r="H198" s="19"/>
    </row>
    <row r="199">
      <c r="D199" s="18"/>
      <c r="H199" s="19"/>
    </row>
    <row r="200">
      <c r="D200" s="18"/>
      <c r="H200" s="19"/>
    </row>
    <row r="201">
      <c r="D201" s="18"/>
      <c r="H201" s="19"/>
    </row>
    <row r="202">
      <c r="D202" s="18"/>
      <c r="H202" s="19"/>
    </row>
    <row r="203">
      <c r="D203" s="18"/>
      <c r="H203" s="19"/>
    </row>
    <row r="204">
      <c r="D204" s="18"/>
      <c r="H204" s="19"/>
    </row>
    <row r="205">
      <c r="D205" s="18"/>
      <c r="H205" s="19"/>
    </row>
    <row r="206">
      <c r="D206" s="18"/>
      <c r="H206" s="19"/>
    </row>
    <row r="207">
      <c r="D207" s="18"/>
      <c r="H207" s="19"/>
    </row>
    <row r="208">
      <c r="D208" s="18"/>
      <c r="H208" s="19"/>
    </row>
    <row r="209">
      <c r="D209" s="18"/>
      <c r="H209" s="19"/>
    </row>
    <row r="210">
      <c r="D210" s="18"/>
      <c r="H210" s="19"/>
    </row>
    <row r="211">
      <c r="D211" s="18"/>
      <c r="H211" s="19"/>
    </row>
    <row r="212">
      <c r="D212" s="18"/>
      <c r="H212" s="19"/>
    </row>
    <row r="213">
      <c r="D213" s="18"/>
      <c r="H213" s="19"/>
    </row>
    <row r="214">
      <c r="D214" s="18"/>
      <c r="H214" s="19"/>
    </row>
    <row r="215">
      <c r="D215" s="18"/>
      <c r="H215" s="19"/>
    </row>
    <row r="216">
      <c r="D216" s="18"/>
      <c r="H216" s="19"/>
    </row>
    <row r="217">
      <c r="D217" s="18"/>
      <c r="H217" s="19"/>
    </row>
    <row r="218">
      <c r="D218" s="18"/>
      <c r="H218" s="19"/>
    </row>
    <row r="219">
      <c r="D219" s="18"/>
      <c r="H219" s="19"/>
    </row>
    <row r="220">
      <c r="D220" s="18"/>
      <c r="H220" s="19"/>
    </row>
    <row r="221">
      <c r="D221" s="18"/>
      <c r="H221" s="19"/>
    </row>
    <row r="222">
      <c r="D222" s="18"/>
      <c r="H222" s="19"/>
    </row>
    <row r="223">
      <c r="D223" s="18"/>
      <c r="H223" s="19"/>
    </row>
    <row r="224">
      <c r="D224" s="18"/>
      <c r="H224" s="19"/>
    </row>
    <row r="225">
      <c r="D225" s="18"/>
      <c r="H225" s="19"/>
    </row>
    <row r="226">
      <c r="D226" s="18"/>
      <c r="H226" s="19"/>
    </row>
    <row r="227">
      <c r="D227" s="18"/>
      <c r="H227" s="19"/>
    </row>
    <row r="228">
      <c r="D228" s="18"/>
      <c r="H228" s="19"/>
    </row>
    <row r="229">
      <c r="D229" s="18"/>
      <c r="H229" s="19"/>
    </row>
    <row r="230">
      <c r="D230" s="18"/>
      <c r="H230" s="19"/>
    </row>
    <row r="231">
      <c r="D231" s="18"/>
      <c r="H231" s="19"/>
    </row>
    <row r="232">
      <c r="D232" s="18"/>
      <c r="H232" s="19"/>
    </row>
    <row r="233">
      <c r="D233" s="18"/>
      <c r="H233" s="19"/>
    </row>
    <row r="234">
      <c r="D234" s="18"/>
      <c r="H234" s="19"/>
    </row>
    <row r="235">
      <c r="D235" s="18"/>
      <c r="H235" s="19"/>
    </row>
    <row r="236">
      <c r="D236" s="18"/>
      <c r="H236" s="19"/>
    </row>
    <row r="237">
      <c r="D237" s="18"/>
      <c r="H237" s="19"/>
    </row>
    <row r="238">
      <c r="D238" s="18"/>
      <c r="H238" s="19"/>
    </row>
    <row r="239">
      <c r="D239" s="18"/>
      <c r="H239" s="19"/>
    </row>
    <row r="240">
      <c r="D240" s="18"/>
      <c r="H240" s="19"/>
    </row>
    <row r="241">
      <c r="D241" s="18"/>
      <c r="H241" s="19"/>
    </row>
    <row r="242">
      <c r="D242" s="18"/>
      <c r="H242" s="19"/>
    </row>
    <row r="243">
      <c r="D243" s="18"/>
      <c r="H243" s="19"/>
    </row>
    <row r="244">
      <c r="D244" s="18"/>
      <c r="H244" s="19"/>
    </row>
    <row r="245">
      <c r="D245" s="18"/>
      <c r="H245" s="19"/>
    </row>
    <row r="246">
      <c r="D246" s="18"/>
      <c r="H246" s="19"/>
    </row>
    <row r="247">
      <c r="D247" s="18"/>
      <c r="H247" s="19"/>
    </row>
    <row r="248">
      <c r="D248" s="18"/>
      <c r="H248" s="19"/>
    </row>
    <row r="249">
      <c r="D249" s="18"/>
      <c r="H249" s="19"/>
    </row>
    <row r="250">
      <c r="D250" s="18"/>
      <c r="H250" s="19"/>
    </row>
    <row r="251">
      <c r="D251" s="18"/>
      <c r="H251" s="19"/>
    </row>
    <row r="252">
      <c r="D252" s="18"/>
      <c r="H252" s="19"/>
    </row>
    <row r="253">
      <c r="D253" s="18"/>
      <c r="H253" s="19"/>
    </row>
    <row r="254">
      <c r="D254" s="18"/>
      <c r="H254" s="19"/>
    </row>
    <row r="255">
      <c r="D255" s="18"/>
      <c r="H255" s="19"/>
    </row>
    <row r="256">
      <c r="D256" s="18"/>
      <c r="H256" s="19"/>
    </row>
    <row r="257">
      <c r="D257" s="18"/>
      <c r="H257" s="19"/>
    </row>
    <row r="258">
      <c r="D258" s="18"/>
      <c r="H258" s="19"/>
    </row>
    <row r="259">
      <c r="D259" s="18"/>
      <c r="H259" s="19"/>
    </row>
    <row r="260">
      <c r="D260" s="18"/>
      <c r="H260" s="19"/>
    </row>
    <row r="261">
      <c r="D261" s="18"/>
      <c r="H261" s="19"/>
    </row>
    <row r="262">
      <c r="D262" s="18"/>
      <c r="H262" s="19"/>
    </row>
    <row r="263">
      <c r="D263" s="18"/>
      <c r="H263" s="19"/>
    </row>
    <row r="264">
      <c r="D264" s="18"/>
      <c r="H264" s="19"/>
    </row>
    <row r="265">
      <c r="D265" s="18"/>
      <c r="H265" s="19"/>
    </row>
    <row r="266">
      <c r="D266" s="18"/>
      <c r="H266" s="19"/>
    </row>
    <row r="267">
      <c r="D267" s="18"/>
      <c r="H267" s="19"/>
    </row>
    <row r="268">
      <c r="D268" s="18"/>
      <c r="H268" s="19"/>
    </row>
    <row r="269">
      <c r="D269" s="18"/>
      <c r="H269" s="19"/>
    </row>
    <row r="270">
      <c r="D270" s="18"/>
      <c r="H270" s="19"/>
    </row>
    <row r="271">
      <c r="D271" s="18"/>
      <c r="H271" s="19"/>
    </row>
    <row r="272">
      <c r="D272" s="18"/>
      <c r="H272" s="19"/>
    </row>
    <row r="273">
      <c r="D273" s="18"/>
      <c r="H273" s="19"/>
    </row>
    <row r="274">
      <c r="D274" s="18"/>
      <c r="H274" s="19"/>
    </row>
    <row r="275">
      <c r="D275" s="18"/>
      <c r="H275" s="19"/>
    </row>
    <row r="276">
      <c r="D276" s="18"/>
      <c r="H276" s="19"/>
    </row>
    <row r="277">
      <c r="D277" s="18"/>
      <c r="H277" s="19"/>
    </row>
    <row r="278">
      <c r="D278" s="18"/>
      <c r="H278" s="19"/>
    </row>
    <row r="279">
      <c r="D279" s="18"/>
      <c r="H279" s="19"/>
    </row>
    <row r="280">
      <c r="D280" s="18"/>
      <c r="H280" s="19"/>
    </row>
    <row r="281">
      <c r="D281" s="18"/>
      <c r="H281" s="19"/>
    </row>
    <row r="282">
      <c r="D282" s="18"/>
      <c r="H282" s="19"/>
    </row>
    <row r="283">
      <c r="D283" s="18"/>
      <c r="H283" s="19"/>
    </row>
    <row r="284">
      <c r="D284" s="18"/>
      <c r="H284" s="19"/>
    </row>
    <row r="285">
      <c r="D285" s="18"/>
      <c r="H285" s="19"/>
    </row>
    <row r="286">
      <c r="D286" s="18"/>
      <c r="H286" s="19"/>
    </row>
    <row r="287">
      <c r="D287" s="18"/>
      <c r="H287" s="19"/>
    </row>
    <row r="288">
      <c r="D288" s="18"/>
      <c r="H288" s="19"/>
    </row>
    <row r="289">
      <c r="D289" s="18"/>
      <c r="H289" s="19"/>
    </row>
    <row r="290">
      <c r="D290" s="18"/>
      <c r="H290" s="19"/>
    </row>
    <row r="291">
      <c r="D291" s="18"/>
      <c r="H291" s="19"/>
    </row>
    <row r="292">
      <c r="D292" s="18"/>
      <c r="H292" s="19"/>
    </row>
    <row r="293">
      <c r="D293" s="18"/>
      <c r="H293" s="19"/>
    </row>
    <row r="294">
      <c r="D294" s="18"/>
      <c r="H294" s="19"/>
    </row>
    <row r="295">
      <c r="D295" s="18"/>
      <c r="H295" s="19"/>
    </row>
    <row r="296">
      <c r="D296" s="18"/>
      <c r="H296" s="19"/>
    </row>
    <row r="297">
      <c r="D297" s="18"/>
      <c r="H297" s="19"/>
    </row>
    <row r="298">
      <c r="D298" s="18"/>
      <c r="H298" s="19"/>
    </row>
    <row r="299">
      <c r="D299" s="18"/>
      <c r="H299" s="19"/>
    </row>
    <row r="300">
      <c r="D300" s="18"/>
      <c r="H300" s="19"/>
    </row>
    <row r="301">
      <c r="D301" s="18"/>
      <c r="H301" s="19"/>
    </row>
    <row r="302">
      <c r="D302" s="18"/>
      <c r="H302" s="19"/>
    </row>
    <row r="303">
      <c r="D303" s="18"/>
      <c r="H303" s="19"/>
    </row>
    <row r="304">
      <c r="D304" s="18"/>
      <c r="H304" s="19"/>
    </row>
    <row r="305">
      <c r="D305" s="18"/>
      <c r="H305" s="19"/>
    </row>
    <row r="306">
      <c r="D306" s="18"/>
      <c r="H306" s="19"/>
    </row>
    <row r="307">
      <c r="D307" s="18"/>
      <c r="H307" s="19"/>
    </row>
    <row r="308">
      <c r="D308" s="18"/>
      <c r="H308" s="19"/>
    </row>
    <row r="309">
      <c r="D309" s="18"/>
      <c r="H309" s="19"/>
    </row>
    <row r="310">
      <c r="D310" s="18"/>
      <c r="H310" s="19"/>
    </row>
    <row r="311">
      <c r="D311" s="18"/>
      <c r="H311" s="19"/>
    </row>
    <row r="312">
      <c r="D312" s="18"/>
      <c r="H312" s="19"/>
    </row>
    <row r="313">
      <c r="D313" s="18"/>
      <c r="H313" s="19"/>
    </row>
    <row r="314">
      <c r="D314" s="18"/>
      <c r="H314" s="19"/>
    </row>
    <row r="315">
      <c r="D315" s="18"/>
      <c r="H315" s="19"/>
    </row>
    <row r="316">
      <c r="D316" s="18"/>
      <c r="H316" s="19"/>
    </row>
    <row r="317">
      <c r="D317" s="18"/>
      <c r="H317" s="19"/>
    </row>
    <row r="318">
      <c r="D318" s="18"/>
      <c r="H318" s="19"/>
    </row>
    <row r="319">
      <c r="D319" s="18"/>
      <c r="H319" s="19"/>
    </row>
    <row r="320">
      <c r="D320" s="18"/>
      <c r="H320" s="19"/>
    </row>
    <row r="321">
      <c r="D321" s="18"/>
      <c r="H321" s="19"/>
    </row>
    <row r="322">
      <c r="D322" s="18"/>
      <c r="H322" s="19"/>
    </row>
    <row r="323">
      <c r="D323" s="18"/>
      <c r="H323" s="19"/>
    </row>
    <row r="324">
      <c r="D324" s="18"/>
      <c r="H324" s="19"/>
    </row>
    <row r="325">
      <c r="D325" s="18"/>
      <c r="H325" s="19"/>
    </row>
    <row r="326">
      <c r="D326" s="18"/>
      <c r="H326" s="19"/>
    </row>
    <row r="327">
      <c r="D327" s="18"/>
      <c r="H327" s="19"/>
    </row>
    <row r="328">
      <c r="D328" s="18"/>
      <c r="H328" s="19"/>
    </row>
    <row r="329">
      <c r="D329" s="18"/>
      <c r="H329" s="19"/>
    </row>
    <row r="330">
      <c r="D330" s="18"/>
      <c r="H330" s="19"/>
    </row>
    <row r="331">
      <c r="D331" s="18"/>
      <c r="H331" s="19"/>
    </row>
    <row r="332">
      <c r="D332" s="18"/>
      <c r="H332" s="19"/>
    </row>
    <row r="333">
      <c r="D333" s="18"/>
      <c r="H333" s="19"/>
    </row>
    <row r="334">
      <c r="D334" s="18"/>
      <c r="H334" s="19"/>
    </row>
    <row r="335">
      <c r="D335" s="18"/>
      <c r="H335" s="19"/>
    </row>
    <row r="336">
      <c r="D336" s="18"/>
      <c r="H336" s="19"/>
    </row>
    <row r="337">
      <c r="D337" s="18"/>
      <c r="H337" s="19"/>
    </row>
    <row r="338">
      <c r="D338" s="18"/>
      <c r="H338" s="19"/>
    </row>
    <row r="339">
      <c r="D339" s="18"/>
      <c r="H339" s="19"/>
    </row>
    <row r="340">
      <c r="D340" s="18"/>
      <c r="H340" s="19"/>
    </row>
    <row r="341">
      <c r="D341" s="18"/>
      <c r="H341" s="19"/>
    </row>
    <row r="342">
      <c r="D342" s="18"/>
      <c r="H342" s="19"/>
    </row>
    <row r="343">
      <c r="D343" s="18"/>
      <c r="H343" s="19"/>
    </row>
    <row r="344">
      <c r="D344" s="18"/>
      <c r="H344" s="19"/>
    </row>
    <row r="345">
      <c r="D345" s="18"/>
      <c r="H345" s="19"/>
    </row>
    <row r="346">
      <c r="D346" s="18"/>
      <c r="H346" s="19"/>
    </row>
    <row r="347">
      <c r="D347" s="18"/>
      <c r="H347" s="19"/>
    </row>
    <row r="348">
      <c r="D348" s="18"/>
      <c r="H348" s="19"/>
    </row>
    <row r="349">
      <c r="D349" s="18"/>
      <c r="H349" s="19"/>
    </row>
    <row r="350">
      <c r="D350" s="18"/>
      <c r="H350" s="19"/>
    </row>
    <row r="351">
      <c r="D351" s="18"/>
      <c r="H351" s="19"/>
    </row>
    <row r="352">
      <c r="D352" s="18"/>
      <c r="H352" s="19"/>
    </row>
    <row r="353">
      <c r="D353" s="18"/>
      <c r="H353" s="19"/>
    </row>
    <row r="354">
      <c r="D354" s="18"/>
      <c r="H354" s="19"/>
    </row>
    <row r="355">
      <c r="D355" s="18"/>
      <c r="H355" s="19"/>
    </row>
    <row r="356">
      <c r="D356" s="18"/>
      <c r="H356" s="19"/>
    </row>
    <row r="357">
      <c r="D357" s="18"/>
      <c r="H357" s="19"/>
    </row>
    <row r="358">
      <c r="D358" s="18"/>
      <c r="H358" s="19"/>
    </row>
    <row r="359">
      <c r="D359" s="18"/>
      <c r="H359" s="19"/>
    </row>
    <row r="360">
      <c r="D360" s="18"/>
      <c r="H360" s="19"/>
    </row>
    <row r="361">
      <c r="D361" s="18"/>
      <c r="H361" s="19"/>
    </row>
    <row r="362">
      <c r="D362" s="18"/>
      <c r="H362" s="19"/>
    </row>
    <row r="363">
      <c r="D363" s="18"/>
      <c r="H363" s="19"/>
    </row>
    <row r="364">
      <c r="D364" s="18"/>
      <c r="H364" s="19"/>
    </row>
    <row r="365">
      <c r="D365" s="18"/>
      <c r="H365" s="19"/>
    </row>
    <row r="366">
      <c r="D366" s="18"/>
      <c r="H366" s="19"/>
    </row>
    <row r="367">
      <c r="D367" s="18"/>
      <c r="H367" s="19"/>
    </row>
    <row r="368">
      <c r="D368" s="18"/>
      <c r="H368" s="19"/>
    </row>
    <row r="369">
      <c r="D369" s="18"/>
      <c r="H369" s="19"/>
    </row>
    <row r="370">
      <c r="D370" s="18"/>
      <c r="H370" s="19"/>
    </row>
    <row r="371">
      <c r="D371" s="18"/>
      <c r="H371" s="19"/>
    </row>
    <row r="372">
      <c r="D372" s="18"/>
      <c r="H372" s="19"/>
    </row>
    <row r="373">
      <c r="D373" s="18"/>
      <c r="H373" s="19"/>
    </row>
    <row r="374">
      <c r="D374" s="18"/>
      <c r="H374" s="19"/>
    </row>
    <row r="375">
      <c r="D375" s="18"/>
      <c r="H375" s="19"/>
    </row>
    <row r="376">
      <c r="D376" s="18"/>
      <c r="H376" s="19"/>
    </row>
    <row r="377">
      <c r="D377" s="18"/>
      <c r="H377" s="19"/>
    </row>
    <row r="378">
      <c r="D378" s="18"/>
      <c r="H378" s="19"/>
    </row>
    <row r="379">
      <c r="D379" s="18"/>
      <c r="H379" s="19"/>
    </row>
    <row r="380">
      <c r="D380" s="18"/>
      <c r="H380" s="19"/>
    </row>
    <row r="381">
      <c r="D381" s="18"/>
      <c r="H381" s="19"/>
    </row>
    <row r="382">
      <c r="D382" s="18"/>
      <c r="H382" s="19"/>
    </row>
    <row r="383">
      <c r="D383" s="18"/>
      <c r="H383" s="19"/>
    </row>
    <row r="384">
      <c r="D384" s="18"/>
      <c r="H384" s="19"/>
    </row>
    <row r="385">
      <c r="D385" s="18"/>
      <c r="H385" s="19"/>
    </row>
    <row r="386">
      <c r="D386" s="18"/>
      <c r="H386" s="19"/>
    </row>
    <row r="387">
      <c r="D387" s="18"/>
      <c r="H387" s="19"/>
    </row>
    <row r="388">
      <c r="D388" s="18"/>
      <c r="H388" s="19"/>
    </row>
    <row r="389">
      <c r="D389" s="18"/>
      <c r="H389" s="19"/>
    </row>
    <row r="390">
      <c r="D390" s="18"/>
      <c r="H390" s="19"/>
    </row>
    <row r="391">
      <c r="D391" s="18"/>
      <c r="H391" s="19"/>
    </row>
    <row r="392">
      <c r="D392" s="18"/>
      <c r="H392" s="19"/>
    </row>
    <row r="393">
      <c r="D393" s="18"/>
      <c r="H393" s="19"/>
    </row>
    <row r="394">
      <c r="D394" s="18"/>
      <c r="H394" s="19"/>
    </row>
    <row r="395">
      <c r="D395" s="18"/>
      <c r="H395" s="19"/>
    </row>
    <row r="396">
      <c r="D396" s="18"/>
      <c r="H396" s="19"/>
    </row>
    <row r="397">
      <c r="D397" s="18"/>
      <c r="H397" s="19"/>
    </row>
    <row r="398">
      <c r="D398" s="18"/>
      <c r="H398" s="19"/>
    </row>
    <row r="399">
      <c r="D399" s="18"/>
      <c r="H399" s="19"/>
    </row>
    <row r="400">
      <c r="D400" s="18"/>
      <c r="H400" s="19"/>
    </row>
    <row r="401">
      <c r="D401" s="18"/>
      <c r="H401" s="19"/>
    </row>
    <row r="402">
      <c r="D402" s="18"/>
      <c r="H402" s="19"/>
    </row>
    <row r="403">
      <c r="D403" s="18"/>
      <c r="H403" s="19"/>
    </row>
    <row r="404">
      <c r="D404" s="18"/>
      <c r="H404" s="19"/>
    </row>
    <row r="405">
      <c r="D405" s="18"/>
      <c r="H405" s="19"/>
    </row>
    <row r="406">
      <c r="D406" s="18"/>
      <c r="H406" s="19"/>
    </row>
    <row r="407">
      <c r="D407" s="18"/>
      <c r="H407" s="19"/>
    </row>
    <row r="408">
      <c r="D408" s="18"/>
      <c r="H408" s="19"/>
    </row>
    <row r="409">
      <c r="D409" s="18"/>
      <c r="H409" s="19"/>
    </row>
    <row r="410">
      <c r="D410" s="18"/>
      <c r="H410" s="19"/>
    </row>
    <row r="411">
      <c r="D411" s="18"/>
      <c r="H411" s="19"/>
    </row>
    <row r="412">
      <c r="D412" s="18"/>
      <c r="H412" s="19"/>
    </row>
    <row r="413">
      <c r="D413" s="18"/>
      <c r="H413" s="19"/>
    </row>
    <row r="414">
      <c r="D414" s="18"/>
      <c r="H414" s="19"/>
    </row>
    <row r="415">
      <c r="D415" s="18"/>
      <c r="H415" s="19"/>
    </row>
    <row r="416">
      <c r="D416" s="18"/>
      <c r="H416" s="19"/>
    </row>
    <row r="417">
      <c r="D417" s="18"/>
      <c r="H417" s="19"/>
    </row>
    <row r="418">
      <c r="D418" s="18"/>
      <c r="H418" s="19"/>
    </row>
    <row r="419">
      <c r="D419" s="18"/>
      <c r="H419" s="19"/>
    </row>
    <row r="420">
      <c r="D420" s="18"/>
      <c r="H420" s="19"/>
    </row>
    <row r="421">
      <c r="D421" s="18"/>
      <c r="H421" s="19"/>
    </row>
    <row r="422">
      <c r="D422" s="18"/>
      <c r="H422" s="19"/>
    </row>
    <row r="423">
      <c r="D423" s="18"/>
      <c r="H423" s="19"/>
    </row>
    <row r="424">
      <c r="D424" s="18"/>
      <c r="H424" s="19"/>
    </row>
    <row r="425">
      <c r="D425" s="18"/>
      <c r="H425" s="19"/>
    </row>
    <row r="426">
      <c r="D426" s="18"/>
      <c r="H426" s="19"/>
    </row>
    <row r="427">
      <c r="D427" s="18"/>
      <c r="H427" s="19"/>
    </row>
    <row r="428">
      <c r="D428" s="18"/>
      <c r="H428" s="19"/>
    </row>
    <row r="429">
      <c r="D429" s="18"/>
      <c r="H429" s="19"/>
    </row>
    <row r="430">
      <c r="D430" s="18"/>
      <c r="H430" s="19"/>
    </row>
    <row r="431">
      <c r="D431" s="18"/>
      <c r="H431" s="19"/>
    </row>
    <row r="432">
      <c r="D432" s="18"/>
      <c r="H432" s="19"/>
    </row>
    <row r="433">
      <c r="D433" s="18"/>
      <c r="H433" s="19"/>
    </row>
    <row r="434">
      <c r="D434" s="18"/>
      <c r="H434" s="19"/>
    </row>
    <row r="435">
      <c r="D435" s="18"/>
      <c r="H435" s="19"/>
    </row>
    <row r="436">
      <c r="D436" s="18"/>
      <c r="H436" s="19"/>
    </row>
    <row r="437">
      <c r="D437" s="18"/>
      <c r="H437" s="19"/>
    </row>
    <row r="438">
      <c r="D438" s="18"/>
      <c r="H438" s="19"/>
    </row>
    <row r="439">
      <c r="D439" s="18"/>
      <c r="H439" s="19"/>
    </row>
    <row r="440">
      <c r="D440" s="18"/>
      <c r="H440" s="19"/>
    </row>
    <row r="441">
      <c r="D441" s="18"/>
      <c r="H441" s="19"/>
    </row>
    <row r="442">
      <c r="D442" s="18"/>
      <c r="H442" s="19"/>
    </row>
    <row r="443">
      <c r="D443" s="18"/>
      <c r="H443" s="19"/>
    </row>
    <row r="444">
      <c r="D444" s="18"/>
      <c r="H444" s="19"/>
    </row>
    <row r="445">
      <c r="D445" s="18"/>
      <c r="H445" s="19"/>
    </row>
    <row r="446">
      <c r="D446" s="18"/>
      <c r="H446" s="19"/>
    </row>
    <row r="447">
      <c r="D447" s="18"/>
      <c r="H447" s="19"/>
    </row>
    <row r="448">
      <c r="D448" s="18"/>
      <c r="H448" s="19"/>
    </row>
    <row r="449">
      <c r="D449" s="18"/>
      <c r="H449" s="19"/>
    </row>
    <row r="450">
      <c r="D450" s="18"/>
      <c r="H450" s="19"/>
    </row>
    <row r="451">
      <c r="D451" s="18"/>
      <c r="H451" s="19"/>
    </row>
    <row r="452">
      <c r="D452" s="18"/>
      <c r="H452" s="19"/>
    </row>
    <row r="453">
      <c r="D453" s="18"/>
      <c r="H453" s="19"/>
    </row>
    <row r="454">
      <c r="D454" s="18"/>
      <c r="H454" s="19"/>
    </row>
    <row r="455">
      <c r="D455" s="18"/>
      <c r="H455" s="19"/>
    </row>
    <row r="456">
      <c r="D456" s="18"/>
      <c r="H456" s="19"/>
    </row>
    <row r="457">
      <c r="D457" s="18"/>
      <c r="H457" s="19"/>
    </row>
    <row r="458">
      <c r="D458" s="18"/>
      <c r="H458" s="19"/>
    </row>
    <row r="459">
      <c r="D459" s="18"/>
      <c r="H459" s="19"/>
    </row>
    <row r="460">
      <c r="D460" s="18"/>
      <c r="H460" s="19"/>
    </row>
    <row r="461">
      <c r="D461" s="18"/>
      <c r="H461" s="19"/>
    </row>
    <row r="462">
      <c r="D462" s="18"/>
      <c r="H462" s="19"/>
    </row>
    <row r="463">
      <c r="D463" s="18"/>
      <c r="H463" s="19"/>
    </row>
    <row r="464">
      <c r="D464" s="18"/>
      <c r="H464" s="19"/>
    </row>
    <row r="465">
      <c r="D465" s="18"/>
      <c r="H465" s="19"/>
    </row>
    <row r="466">
      <c r="D466" s="18"/>
      <c r="H466" s="19"/>
    </row>
    <row r="467">
      <c r="D467" s="18"/>
      <c r="H467" s="19"/>
    </row>
    <row r="468">
      <c r="D468" s="18"/>
      <c r="H468" s="19"/>
    </row>
    <row r="469">
      <c r="D469" s="18"/>
      <c r="H469" s="19"/>
    </row>
    <row r="470">
      <c r="D470" s="18"/>
      <c r="H470" s="19"/>
    </row>
    <row r="471">
      <c r="D471" s="18"/>
      <c r="H471" s="19"/>
    </row>
    <row r="472">
      <c r="D472" s="18"/>
      <c r="H472" s="19"/>
    </row>
    <row r="473">
      <c r="D473" s="18"/>
      <c r="H473" s="19"/>
    </row>
    <row r="474">
      <c r="D474" s="18"/>
      <c r="H474" s="19"/>
    </row>
    <row r="475">
      <c r="D475" s="18"/>
      <c r="H475" s="19"/>
    </row>
    <row r="476">
      <c r="D476" s="18"/>
      <c r="H476" s="19"/>
    </row>
    <row r="477">
      <c r="D477" s="18"/>
      <c r="H477" s="19"/>
    </row>
    <row r="478">
      <c r="D478" s="18"/>
      <c r="H478" s="19"/>
    </row>
    <row r="479">
      <c r="D479" s="18"/>
      <c r="H479" s="19"/>
    </row>
    <row r="480">
      <c r="D480" s="18"/>
      <c r="H480" s="19"/>
    </row>
    <row r="481">
      <c r="D481" s="18"/>
      <c r="H481" s="19"/>
    </row>
    <row r="482">
      <c r="D482" s="18"/>
      <c r="H482" s="19"/>
    </row>
    <row r="483">
      <c r="D483" s="18"/>
      <c r="H483" s="19"/>
    </row>
    <row r="484">
      <c r="D484" s="18"/>
      <c r="H484" s="19"/>
    </row>
    <row r="485">
      <c r="D485" s="18"/>
      <c r="H485" s="19"/>
    </row>
    <row r="486">
      <c r="D486" s="18"/>
      <c r="H486" s="19"/>
    </row>
    <row r="487">
      <c r="D487" s="18"/>
      <c r="H487" s="19"/>
    </row>
    <row r="488">
      <c r="D488" s="18"/>
      <c r="H488" s="19"/>
    </row>
    <row r="489">
      <c r="D489" s="18"/>
      <c r="H489" s="19"/>
    </row>
    <row r="490">
      <c r="D490" s="18"/>
      <c r="H490" s="19"/>
    </row>
    <row r="491">
      <c r="D491" s="18"/>
      <c r="H491" s="19"/>
    </row>
    <row r="492">
      <c r="D492" s="18"/>
      <c r="H492" s="19"/>
    </row>
    <row r="493">
      <c r="D493" s="18"/>
      <c r="H493" s="19"/>
    </row>
    <row r="494">
      <c r="D494" s="18"/>
      <c r="H494" s="19"/>
    </row>
    <row r="495">
      <c r="D495" s="18"/>
      <c r="H495" s="19"/>
    </row>
    <row r="496">
      <c r="D496" s="18"/>
      <c r="H496" s="19"/>
    </row>
    <row r="497">
      <c r="D497" s="18"/>
      <c r="H497" s="19"/>
    </row>
    <row r="498">
      <c r="D498" s="18"/>
      <c r="H498" s="19"/>
    </row>
    <row r="499">
      <c r="D499" s="18"/>
      <c r="H499" s="19"/>
    </row>
    <row r="500">
      <c r="D500" s="18"/>
      <c r="H500" s="19"/>
    </row>
    <row r="501">
      <c r="D501" s="18"/>
      <c r="H501" s="19"/>
    </row>
    <row r="502">
      <c r="D502" s="18"/>
      <c r="H502" s="19"/>
    </row>
    <row r="503">
      <c r="D503" s="18"/>
      <c r="H503" s="19"/>
    </row>
    <row r="504">
      <c r="D504" s="18"/>
      <c r="H504" s="19"/>
    </row>
    <row r="505">
      <c r="D505" s="18"/>
      <c r="H505" s="19"/>
    </row>
    <row r="506">
      <c r="D506" s="18"/>
      <c r="H506" s="19"/>
    </row>
    <row r="507">
      <c r="D507" s="18"/>
      <c r="H507" s="19"/>
    </row>
    <row r="508">
      <c r="D508" s="18"/>
      <c r="H508" s="19"/>
    </row>
    <row r="509">
      <c r="D509" s="18"/>
      <c r="H509" s="19"/>
    </row>
    <row r="510">
      <c r="D510" s="18"/>
      <c r="H510" s="19"/>
    </row>
    <row r="511">
      <c r="D511" s="18"/>
      <c r="H511" s="19"/>
    </row>
    <row r="512">
      <c r="D512" s="18"/>
      <c r="H512" s="19"/>
    </row>
    <row r="513">
      <c r="D513" s="18"/>
      <c r="H513" s="19"/>
    </row>
    <row r="514">
      <c r="D514" s="18"/>
      <c r="H514" s="19"/>
    </row>
    <row r="515">
      <c r="D515" s="18"/>
      <c r="H515" s="19"/>
    </row>
    <row r="516">
      <c r="D516" s="18"/>
      <c r="H516" s="19"/>
    </row>
    <row r="517">
      <c r="D517" s="18"/>
      <c r="H517" s="19"/>
    </row>
    <row r="518">
      <c r="D518" s="18"/>
      <c r="H518" s="19"/>
    </row>
    <row r="519">
      <c r="D519" s="18"/>
      <c r="H519" s="19"/>
    </row>
    <row r="520">
      <c r="D520" s="18"/>
      <c r="H520" s="19"/>
    </row>
    <row r="521">
      <c r="D521" s="18"/>
      <c r="H521" s="19"/>
    </row>
    <row r="522">
      <c r="D522" s="18"/>
      <c r="H522" s="19"/>
    </row>
    <row r="523">
      <c r="D523" s="18"/>
      <c r="H523" s="19"/>
    </row>
    <row r="524">
      <c r="D524" s="18"/>
      <c r="H524" s="19"/>
    </row>
    <row r="525">
      <c r="D525" s="18"/>
      <c r="H525" s="19"/>
    </row>
    <row r="526">
      <c r="D526" s="18"/>
      <c r="H526" s="19"/>
    </row>
    <row r="527">
      <c r="D527" s="18"/>
      <c r="H527" s="19"/>
    </row>
    <row r="528">
      <c r="D528" s="18"/>
      <c r="H528" s="19"/>
    </row>
    <row r="529">
      <c r="D529" s="18"/>
      <c r="H529" s="19"/>
    </row>
    <row r="530">
      <c r="D530" s="18"/>
      <c r="H530" s="19"/>
    </row>
    <row r="531">
      <c r="D531" s="18"/>
      <c r="H531" s="19"/>
    </row>
    <row r="532">
      <c r="D532" s="18"/>
      <c r="H532" s="19"/>
    </row>
    <row r="533">
      <c r="D533" s="18"/>
      <c r="H533" s="19"/>
    </row>
    <row r="534">
      <c r="D534" s="18"/>
      <c r="H534" s="19"/>
    </row>
    <row r="535">
      <c r="D535" s="18"/>
      <c r="H535" s="19"/>
    </row>
    <row r="536">
      <c r="D536" s="18"/>
      <c r="H536" s="19"/>
    </row>
    <row r="537">
      <c r="D537" s="18"/>
      <c r="H537" s="19"/>
    </row>
    <row r="538">
      <c r="D538" s="18"/>
      <c r="H538" s="19"/>
    </row>
    <row r="539">
      <c r="D539" s="18"/>
      <c r="H539" s="19"/>
    </row>
    <row r="540">
      <c r="D540" s="18"/>
      <c r="H540" s="19"/>
    </row>
    <row r="541">
      <c r="D541" s="18"/>
      <c r="H541" s="19"/>
    </row>
    <row r="542">
      <c r="D542" s="18"/>
      <c r="H542" s="19"/>
    </row>
    <row r="543">
      <c r="D543" s="18"/>
      <c r="H543" s="19"/>
    </row>
    <row r="544">
      <c r="D544" s="18"/>
      <c r="H544" s="19"/>
    </row>
    <row r="545">
      <c r="D545" s="18"/>
      <c r="H545" s="19"/>
    </row>
    <row r="546">
      <c r="D546" s="18"/>
      <c r="H546" s="19"/>
    </row>
    <row r="547">
      <c r="D547" s="18"/>
      <c r="H547" s="19"/>
    </row>
    <row r="548">
      <c r="D548" s="18"/>
      <c r="H548" s="19"/>
    </row>
    <row r="549">
      <c r="D549" s="18"/>
      <c r="H549" s="19"/>
    </row>
    <row r="550">
      <c r="D550" s="18"/>
      <c r="H550" s="19"/>
    </row>
    <row r="551">
      <c r="D551" s="18"/>
      <c r="H551" s="19"/>
    </row>
    <row r="552">
      <c r="D552" s="18"/>
      <c r="H552" s="19"/>
    </row>
    <row r="553">
      <c r="D553" s="18"/>
      <c r="H553" s="19"/>
    </row>
    <row r="554">
      <c r="D554" s="18"/>
      <c r="H554" s="19"/>
    </row>
    <row r="555">
      <c r="D555" s="18"/>
      <c r="H555" s="19"/>
    </row>
    <row r="556">
      <c r="D556" s="18"/>
      <c r="H556" s="19"/>
    </row>
    <row r="557">
      <c r="D557" s="18"/>
      <c r="H557" s="19"/>
    </row>
    <row r="558">
      <c r="D558" s="18"/>
      <c r="H558" s="19"/>
    </row>
    <row r="559">
      <c r="D559" s="18"/>
      <c r="H559" s="19"/>
    </row>
    <row r="560">
      <c r="D560" s="18"/>
      <c r="H560" s="19"/>
    </row>
    <row r="561">
      <c r="D561" s="18"/>
      <c r="H561" s="19"/>
    </row>
    <row r="562">
      <c r="D562" s="18"/>
      <c r="H562" s="19"/>
    </row>
    <row r="563">
      <c r="D563" s="18"/>
      <c r="H563" s="19"/>
    </row>
    <row r="564">
      <c r="D564" s="18"/>
      <c r="H564" s="19"/>
    </row>
    <row r="565">
      <c r="D565" s="18"/>
      <c r="H565" s="19"/>
    </row>
    <row r="566">
      <c r="D566" s="18"/>
      <c r="H566" s="19"/>
    </row>
    <row r="567">
      <c r="D567" s="18"/>
      <c r="H567" s="19"/>
    </row>
    <row r="568">
      <c r="D568" s="18"/>
      <c r="H568" s="19"/>
    </row>
    <row r="569">
      <c r="D569" s="18"/>
      <c r="H569" s="19"/>
    </row>
    <row r="570">
      <c r="D570" s="18"/>
      <c r="H570" s="19"/>
    </row>
    <row r="571">
      <c r="D571" s="18"/>
      <c r="H571" s="19"/>
    </row>
    <row r="572">
      <c r="D572" s="18"/>
      <c r="H572" s="19"/>
    </row>
    <row r="573">
      <c r="D573" s="18"/>
      <c r="H573" s="19"/>
    </row>
    <row r="574">
      <c r="D574" s="18"/>
      <c r="H574" s="19"/>
    </row>
    <row r="575">
      <c r="D575" s="18"/>
      <c r="H575" s="19"/>
    </row>
    <row r="576">
      <c r="D576" s="18"/>
      <c r="H576" s="19"/>
    </row>
    <row r="577">
      <c r="D577" s="18"/>
      <c r="H577" s="19"/>
    </row>
    <row r="578">
      <c r="D578" s="18"/>
      <c r="H578" s="19"/>
    </row>
    <row r="579">
      <c r="D579" s="18"/>
      <c r="H579" s="19"/>
    </row>
    <row r="580">
      <c r="D580" s="18"/>
      <c r="H580" s="19"/>
    </row>
    <row r="581">
      <c r="D581" s="18"/>
      <c r="H581" s="19"/>
    </row>
    <row r="582">
      <c r="D582" s="18"/>
      <c r="H582" s="19"/>
    </row>
    <row r="583">
      <c r="D583" s="18"/>
      <c r="H583" s="19"/>
    </row>
    <row r="584">
      <c r="D584" s="18"/>
      <c r="H584" s="19"/>
    </row>
    <row r="585">
      <c r="D585" s="18"/>
      <c r="H585" s="19"/>
    </row>
    <row r="586">
      <c r="D586" s="18"/>
      <c r="H586" s="19"/>
    </row>
    <row r="587">
      <c r="D587" s="18"/>
      <c r="H587" s="19"/>
    </row>
    <row r="588">
      <c r="D588" s="18"/>
      <c r="H588" s="19"/>
    </row>
    <row r="589">
      <c r="D589" s="18"/>
      <c r="H589" s="19"/>
    </row>
    <row r="590">
      <c r="D590" s="18"/>
      <c r="H590" s="19"/>
    </row>
    <row r="591">
      <c r="D591" s="18"/>
      <c r="H591" s="19"/>
    </row>
    <row r="592">
      <c r="D592" s="18"/>
      <c r="H592" s="19"/>
    </row>
    <row r="593">
      <c r="D593" s="18"/>
      <c r="H593" s="19"/>
    </row>
    <row r="594">
      <c r="D594" s="18"/>
      <c r="H594" s="19"/>
    </row>
    <row r="595">
      <c r="D595" s="18"/>
      <c r="H595" s="19"/>
    </row>
    <row r="596">
      <c r="D596" s="18"/>
      <c r="H596" s="19"/>
    </row>
    <row r="597">
      <c r="D597" s="18"/>
      <c r="H597" s="19"/>
    </row>
    <row r="598">
      <c r="D598" s="18"/>
      <c r="H598" s="19"/>
    </row>
    <row r="599">
      <c r="D599" s="18"/>
      <c r="H599" s="19"/>
    </row>
    <row r="600">
      <c r="D600" s="18"/>
      <c r="H600" s="19"/>
    </row>
    <row r="601">
      <c r="D601" s="18"/>
      <c r="H601" s="19"/>
    </row>
    <row r="602">
      <c r="D602" s="18"/>
      <c r="H602" s="19"/>
    </row>
    <row r="603">
      <c r="D603" s="18"/>
      <c r="H603" s="19"/>
    </row>
    <row r="604">
      <c r="D604" s="18"/>
      <c r="H604" s="19"/>
    </row>
    <row r="605">
      <c r="D605" s="18"/>
      <c r="H605" s="19"/>
    </row>
    <row r="606">
      <c r="D606" s="18"/>
      <c r="H606" s="19"/>
    </row>
    <row r="607">
      <c r="D607" s="18"/>
      <c r="H607" s="19"/>
    </row>
    <row r="608">
      <c r="D608" s="18"/>
      <c r="H608" s="19"/>
    </row>
    <row r="609">
      <c r="D609" s="18"/>
      <c r="H609" s="19"/>
    </row>
    <row r="610">
      <c r="D610" s="18"/>
      <c r="H610" s="19"/>
    </row>
    <row r="611">
      <c r="D611" s="18"/>
      <c r="H611" s="19"/>
    </row>
    <row r="612">
      <c r="D612" s="18"/>
      <c r="H612" s="19"/>
    </row>
    <row r="613">
      <c r="D613" s="18"/>
      <c r="H613" s="19"/>
    </row>
    <row r="614">
      <c r="D614" s="18"/>
      <c r="H614" s="19"/>
    </row>
    <row r="615">
      <c r="D615" s="18"/>
      <c r="H615" s="19"/>
    </row>
    <row r="616">
      <c r="D616" s="18"/>
      <c r="H616" s="19"/>
    </row>
    <row r="617">
      <c r="D617" s="18"/>
      <c r="H617" s="19"/>
    </row>
    <row r="618">
      <c r="D618" s="18"/>
      <c r="H618" s="19"/>
    </row>
    <row r="619">
      <c r="D619" s="18"/>
      <c r="H619" s="19"/>
    </row>
    <row r="620">
      <c r="D620" s="18"/>
      <c r="H620" s="19"/>
    </row>
    <row r="621">
      <c r="D621" s="18"/>
      <c r="H621" s="19"/>
    </row>
    <row r="622">
      <c r="D622" s="18"/>
      <c r="H622" s="19"/>
    </row>
    <row r="623">
      <c r="D623" s="18"/>
      <c r="H623" s="19"/>
    </row>
    <row r="624">
      <c r="D624" s="18"/>
      <c r="H624" s="19"/>
    </row>
    <row r="625">
      <c r="D625" s="18"/>
      <c r="H625" s="19"/>
    </row>
    <row r="626">
      <c r="D626" s="18"/>
      <c r="H626" s="19"/>
    </row>
    <row r="627">
      <c r="D627" s="18"/>
      <c r="H627" s="19"/>
    </row>
    <row r="628">
      <c r="D628" s="18"/>
      <c r="H628" s="19"/>
    </row>
    <row r="629">
      <c r="D629" s="18"/>
      <c r="H629" s="19"/>
    </row>
    <row r="630">
      <c r="D630" s="18"/>
      <c r="H630" s="19"/>
    </row>
    <row r="631">
      <c r="D631" s="18"/>
      <c r="H631" s="19"/>
    </row>
    <row r="632">
      <c r="D632" s="18"/>
      <c r="H632" s="19"/>
    </row>
    <row r="633">
      <c r="D633" s="18"/>
      <c r="H633" s="19"/>
    </row>
    <row r="634">
      <c r="D634" s="18"/>
      <c r="H634" s="19"/>
    </row>
    <row r="635">
      <c r="D635" s="18"/>
      <c r="H635" s="19"/>
    </row>
    <row r="636">
      <c r="D636" s="18"/>
      <c r="H636" s="19"/>
    </row>
    <row r="637">
      <c r="D637" s="18"/>
      <c r="H637" s="19"/>
    </row>
    <row r="638">
      <c r="D638" s="18"/>
      <c r="H638" s="19"/>
    </row>
    <row r="639">
      <c r="D639" s="18"/>
      <c r="H639" s="19"/>
    </row>
    <row r="640">
      <c r="D640" s="18"/>
      <c r="H640" s="19"/>
    </row>
    <row r="641">
      <c r="D641" s="18"/>
      <c r="H641" s="19"/>
    </row>
    <row r="642">
      <c r="D642" s="18"/>
      <c r="H642" s="19"/>
    </row>
    <row r="643">
      <c r="D643" s="18"/>
      <c r="H643" s="19"/>
    </row>
    <row r="644">
      <c r="D644" s="18"/>
      <c r="H644" s="19"/>
    </row>
    <row r="645">
      <c r="D645" s="18"/>
      <c r="H645" s="19"/>
    </row>
    <row r="646">
      <c r="D646" s="18"/>
      <c r="H646" s="19"/>
    </row>
    <row r="647">
      <c r="D647" s="18"/>
      <c r="H647" s="19"/>
    </row>
    <row r="648">
      <c r="D648" s="18"/>
      <c r="H648" s="19"/>
    </row>
    <row r="649">
      <c r="D649" s="18"/>
      <c r="H649" s="19"/>
    </row>
    <row r="650">
      <c r="D650" s="18"/>
      <c r="H650" s="19"/>
    </row>
    <row r="651">
      <c r="D651" s="18"/>
      <c r="H651" s="19"/>
    </row>
    <row r="652">
      <c r="D652" s="18"/>
      <c r="H652" s="19"/>
    </row>
    <row r="653">
      <c r="D653" s="18"/>
      <c r="H653" s="19"/>
    </row>
    <row r="654">
      <c r="D654" s="18"/>
      <c r="H654" s="19"/>
    </row>
    <row r="655">
      <c r="D655" s="18"/>
      <c r="H655" s="19"/>
    </row>
    <row r="656">
      <c r="D656" s="18"/>
      <c r="H656" s="19"/>
    </row>
    <row r="657">
      <c r="D657" s="18"/>
      <c r="H657" s="19"/>
    </row>
    <row r="658">
      <c r="D658" s="18"/>
      <c r="H658" s="19"/>
    </row>
    <row r="659">
      <c r="D659" s="18"/>
      <c r="H659" s="19"/>
    </row>
    <row r="660">
      <c r="D660" s="18"/>
      <c r="H660" s="19"/>
    </row>
    <row r="661">
      <c r="D661" s="18"/>
      <c r="H661" s="19"/>
    </row>
    <row r="662">
      <c r="D662" s="18"/>
      <c r="H662" s="19"/>
    </row>
    <row r="663">
      <c r="D663" s="18"/>
      <c r="H663" s="19"/>
    </row>
    <row r="664">
      <c r="D664" s="18"/>
      <c r="H664" s="19"/>
    </row>
    <row r="665">
      <c r="D665" s="18"/>
      <c r="H665" s="19"/>
    </row>
    <row r="666">
      <c r="D666" s="18"/>
      <c r="H666" s="19"/>
    </row>
    <row r="667">
      <c r="D667" s="18"/>
      <c r="H667" s="19"/>
    </row>
    <row r="668">
      <c r="D668" s="18"/>
      <c r="H668" s="19"/>
    </row>
    <row r="669">
      <c r="D669" s="18"/>
      <c r="H669" s="19"/>
    </row>
    <row r="670">
      <c r="D670" s="18"/>
      <c r="H670" s="19"/>
    </row>
    <row r="671">
      <c r="D671" s="18"/>
      <c r="H671" s="19"/>
    </row>
    <row r="672">
      <c r="D672" s="18"/>
      <c r="H672" s="19"/>
    </row>
    <row r="673">
      <c r="D673" s="18"/>
      <c r="H673" s="19"/>
    </row>
    <row r="674">
      <c r="D674" s="18"/>
      <c r="H674" s="19"/>
    </row>
    <row r="675">
      <c r="D675" s="18"/>
      <c r="H675" s="19"/>
    </row>
    <row r="676">
      <c r="D676" s="18"/>
      <c r="H676" s="19"/>
    </row>
    <row r="677">
      <c r="D677" s="18"/>
      <c r="H677" s="19"/>
    </row>
    <row r="678">
      <c r="D678" s="18"/>
      <c r="H678" s="19"/>
    </row>
    <row r="679">
      <c r="D679" s="18"/>
      <c r="H679" s="19"/>
    </row>
    <row r="680">
      <c r="D680" s="18"/>
      <c r="H680" s="19"/>
    </row>
    <row r="681">
      <c r="D681" s="18"/>
      <c r="H681" s="19"/>
    </row>
    <row r="682">
      <c r="D682" s="18"/>
      <c r="H682" s="19"/>
    </row>
    <row r="683">
      <c r="D683" s="18"/>
      <c r="H683" s="19"/>
    </row>
    <row r="684">
      <c r="D684" s="18"/>
      <c r="H684" s="19"/>
    </row>
    <row r="685">
      <c r="D685" s="18"/>
      <c r="H685" s="19"/>
    </row>
    <row r="686">
      <c r="D686" s="18"/>
      <c r="H686" s="19"/>
    </row>
    <row r="687">
      <c r="D687" s="18"/>
      <c r="H687" s="19"/>
    </row>
    <row r="688">
      <c r="D688" s="18"/>
      <c r="H688" s="19"/>
    </row>
    <row r="689">
      <c r="D689" s="18"/>
      <c r="H689" s="19"/>
    </row>
    <row r="690">
      <c r="D690" s="18"/>
      <c r="H690" s="19"/>
    </row>
    <row r="691">
      <c r="D691" s="18"/>
      <c r="H691" s="19"/>
    </row>
    <row r="692">
      <c r="D692" s="18"/>
      <c r="H692" s="19"/>
    </row>
    <row r="693">
      <c r="D693" s="18"/>
      <c r="H693" s="19"/>
    </row>
    <row r="694">
      <c r="D694" s="18"/>
      <c r="H694" s="19"/>
    </row>
    <row r="695">
      <c r="D695" s="18"/>
      <c r="H695" s="19"/>
    </row>
    <row r="696">
      <c r="D696" s="18"/>
      <c r="H696" s="19"/>
    </row>
    <row r="697">
      <c r="D697" s="18"/>
      <c r="H697" s="19"/>
    </row>
    <row r="698">
      <c r="D698" s="18"/>
      <c r="H698" s="19"/>
    </row>
    <row r="699">
      <c r="D699" s="18"/>
      <c r="H699" s="19"/>
    </row>
    <row r="700">
      <c r="D700" s="18"/>
      <c r="H700" s="19"/>
    </row>
    <row r="701">
      <c r="D701" s="18"/>
      <c r="H701" s="19"/>
    </row>
    <row r="702">
      <c r="D702" s="18"/>
      <c r="H702" s="19"/>
    </row>
    <row r="703">
      <c r="D703" s="18"/>
      <c r="H703" s="19"/>
    </row>
    <row r="704">
      <c r="D704" s="18"/>
      <c r="H704" s="19"/>
    </row>
    <row r="705">
      <c r="D705" s="18"/>
      <c r="H705" s="19"/>
    </row>
    <row r="706">
      <c r="D706" s="18"/>
      <c r="H706" s="19"/>
    </row>
    <row r="707">
      <c r="D707" s="18"/>
      <c r="H707" s="19"/>
    </row>
    <row r="708">
      <c r="D708" s="18"/>
      <c r="H708" s="19"/>
    </row>
    <row r="709">
      <c r="D709" s="18"/>
      <c r="H709" s="19"/>
    </row>
    <row r="710">
      <c r="D710" s="18"/>
      <c r="H710" s="19"/>
    </row>
    <row r="711">
      <c r="D711" s="18"/>
      <c r="H711" s="19"/>
    </row>
    <row r="712">
      <c r="D712" s="18"/>
      <c r="H712" s="19"/>
    </row>
    <row r="713">
      <c r="D713" s="18"/>
      <c r="H713" s="19"/>
    </row>
    <row r="714">
      <c r="D714" s="18"/>
      <c r="H714" s="19"/>
    </row>
    <row r="715">
      <c r="D715" s="18"/>
      <c r="H715" s="19"/>
    </row>
    <row r="716">
      <c r="D716" s="18"/>
      <c r="H716" s="19"/>
    </row>
    <row r="717">
      <c r="D717" s="18"/>
      <c r="H717" s="19"/>
    </row>
    <row r="718">
      <c r="D718" s="18"/>
      <c r="H718" s="19"/>
    </row>
    <row r="719">
      <c r="D719" s="18"/>
      <c r="H719" s="19"/>
    </row>
    <row r="720">
      <c r="D720" s="18"/>
      <c r="H720" s="19"/>
    </row>
    <row r="721">
      <c r="D721" s="18"/>
      <c r="H721" s="19"/>
    </row>
    <row r="722">
      <c r="D722" s="18"/>
      <c r="H722" s="19"/>
    </row>
    <row r="723">
      <c r="D723" s="18"/>
      <c r="H723" s="19"/>
    </row>
    <row r="724">
      <c r="D724" s="18"/>
      <c r="H724" s="19"/>
    </row>
    <row r="725">
      <c r="D725" s="18"/>
      <c r="H725" s="19"/>
    </row>
    <row r="726">
      <c r="D726" s="18"/>
      <c r="H726" s="19"/>
    </row>
    <row r="727">
      <c r="D727" s="18"/>
      <c r="H727" s="19"/>
    </row>
    <row r="728">
      <c r="D728" s="18"/>
      <c r="H728" s="19"/>
    </row>
    <row r="729">
      <c r="D729" s="18"/>
      <c r="H729" s="19"/>
    </row>
    <row r="730">
      <c r="D730" s="18"/>
      <c r="H730" s="19"/>
    </row>
    <row r="731">
      <c r="D731" s="18"/>
      <c r="H731" s="19"/>
    </row>
    <row r="732">
      <c r="D732" s="18"/>
      <c r="H732" s="19"/>
    </row>
    <row r="733">
      <c r="D733" s="18"/>
      <c r="H733" s="19"/>
    </row>
    <row r="734">
      <c r="D734" s="18"/>
      <c r="H734" s="19"/>
    </row>
    <row r="735">
      <c r="D735" s="18"/>
      <c r="H735" s="19"/>
    </row>
    <row r="736">
      <c r="D736" s="18"/>
      <c r="H736" s="19"/>
    </row>
    <row r="737">
      <c r="D737" s="18"/>
      <c r="H737" s="19"/>
    </row>
    <row r="738">
      <c r="D738" s="18"/>
      <c r="H738" s="19"/>
    </row>
    <row r="739">
      <c r="D739" s="18"/>
      <c r="H739" s="19"/>
    </row>
    <row r="740">
      <c r="D740" s="18"/>
      <c r="H740" s="19"/>
    </row>
    <row r="741">
      <c r="D741" s="18"/>
      <c r="H741" s="19"/>
    </row>
    <row r="742">
      <c r="D742" s="18"/>
      <c r="H742" s="19"/>
    </row>
    <row r="743">
      <c r="D743" s="18"/>
      <c r="H743" s="19"/>
    </row>
    <row r="744">
      <c r="D744" s="18"/>
      <c r="H744" s="19"/>
    </row>
    <row r="745">
      <c r="D745" s="18"/>
      <c r="H745" s="19"/>
    </row>
    <row r="746">
      <c r="D746" s="18"/>
      <c r="H746" s="19"/>
    </row>
    <row r="747">
      <c r="D747" s="18"/>
      <c r="H747" s="19"/>
    </row>
    <row r="748">
      <c r="D748" s="18"/>
      <c r="H748" s="19"/>
    </row>
    <row r="749">
      <c r="D749" s="18"/>
      <c r="H749" s="19"/>
    </row>
    <row r="750">
      <c r="D750" s="18"/>
      <c r="H750" s="19"/>
    </row>
    <row r="751">
      <c r="D751" s="18"/>
      <c r="H751" s="19"/>
    </row>
    <row r="752">
      <c r="D752" s="18"/>
      <c r="H752" s="19"/>
    </row>
    <row r="753">
      <c r="D753" s="18"/>
      <c r="H753" s="19"/>
    </row>
    <row r="754">
      <c r="D754" s="18"/>
      <c r="H754" s="19"/>
    </row>
    <row r="755">
      <c r="D755" s="18"/>
      <c r="H755" s="19"/>
    </row>
    <row r="756">
      <c r="D756" s="18"/>
      <c r="H756" s="19"/>
    </row>
    <row r="757">
      <c r="D757" s="18"/>
      <c r="H757" s="19"/>
    </row>
    <row r="758">
      <c r="D758" s="18"/>
      <c r="H758" s="19"/>
    </row>
    <row r="759">
      <c r="D759" s="18"/>
      <c r="H759" s="19"/>
    </row>
    <row r="760">
      <c r="D760" s="18"/>
      <c r="H760" s="19"/>
    </row>
    <row r="761">
      <c r="D761" s="18"/>
      <c r="H761" s="19"/>
    </row>
    <row r="762">
      <c r="D762" s="18"/>
      <c r="H762" s="19"/>
    </row>
    <row r="763">
      <c r="D763" s="18"/>
      <c r="H763" s="19"/>
    </row>
    <row r="764">
      <c r="D764" s="18"/>
      <c r="H764" s="19"/>
    </row>
    <row r="765">
      <c r="D765" s="18"/>
      <c r="H765" s="19"/>
    </row>
    <row r="766">
      <c r="D766" s="18"/>
      <c r="H766" s="19"/>
    </row>
    <row r="767">
      <c r="D767" s="18"/>
      <c r="H767" s="19"/>
    </row>
    <row r="768">
      <c r="D768" s="18"/>
      <c r="H768" s="19"/>
    </row>
    <row r="769">
      <c r="D769" s="18"/>
      <c r="H769" s="19"/>
    </row>
    <row r="770">
      <c r="D770" s="18"/>
      <c r="H770" s="19"/>
    </row>
    <row r="771">
      <c r="D771" s="18"/>
      <c r="H771" s="19"/>
    </row>
    <row r="772">
      <c r="D772" s="18"/>
      <c r="H772" s="19"/>
    </row>
    <row r="773">
      <c r="D773" s="18"/>
      <c r="H773" s="19"/>
    </row>
    <row r="774">
      <c r="D774" s="18"/>
      <c r="H774" s="19"/>
    </row>
    <row r="775">
      <c r="D775" s="18"/>
      <c r="H775" s="19"/>
    </row>
    <row r="776">
      <c r="D776" s="18"/>
      <c r="H776" s="19"/>
    </row>
    <row r="777">
      <c r="D777" s="18"/>
      <c r="H777" s="19"/>
    </row>
    <row r="778">
      <c r="D778" s="18"/>
      <c r="H778" s="19"/>
    </row>
    <row r="779">
      <c r="D779" s="18"/>
      <c r="H779" s="19"/>
    </row>
    <row r="780">
      <c r="D780" s="18"/>
      <c r="H780" s="19"/>
    </row>
    <row r="781">
      <c r="D781" s="18"/>
      <c r="H781" s="19"/>
    </row>
    <row r="782">
      <c r="D782" s="18"/>
      <c r="H782" s="19"/>
    </row>
    <row r="783">
      <c r="D783" s="18"/>
      <c r="H783" s="19"/>
    </row>
    <row r="784">
      <c r="D784" s="18"/>
      <c r="H784" s="19"/>
    </row>
    <row r="785">
      <c r="D785" s="18"/>
      <c r="H785" s="19"/>
    </row>
    <row r="786">
      <c r="D786" s="18"/>
      <c r="H786" s="19"/>
    </row>
    <row r="787">
      <c r="D787" s="18"/>
      <c r="H787" s="19"/>
    </row>
    <row r="788">
      <c r="D788" s="18"/>
      <c r="H788" s="19"/>
    </row>
    <row r="789">
      <c r="D789" s="18"/>
      <c r="H789" s="19"/>
    </row>
    <row r="790">
      <c r="D790" s="18"/>
      <c r="H790" s="19"/>
    </row>
    <row r="791">
      <c r="D791" s="18"/>
      <c r="H791" s="19"/>
    </row>
    <row r="792">
      <c r="D792" s="18"/>
      <c r="H792" s="19"/>
    </row>
    <row r="793">
      <c r="D793" s="18"/>
      <c r="H793" s="19"/>
    </row>
    <row r="794">
      <c r="D794" s="18"/>
      <c r="H794" s="19"/>
    </row>
    <row r="795">
      <c r="D795" s="18"/>
      <c r="H795" s="19"/>
    </row>
    <row r="796">
      <c r="D796" s="18"/>
      <c r="H796" s="19"/>
    </row>
    <row r="797">
      <c r="D797" s="18"/>
      <c r="H797" s="19"/>
    </row>
    <row r="798">
      <c r="D798" s="18"/>
      <c r="H798" s="19"/>
    </row>
    <row r="799">
      <c r="D799" s="18"/>
      <c r="H799" s="19"/>
    </row>
    <row r="800">
      <c r="D800" s="18"/>
      <c r="H800" s="19"/>
    </row>
    <row r="801">
      <c r="D801" s="18"/>
      <c r="H801" s="19"/>
    </row>
    <row r="802">
      <c r="D802" s="18"/>
      <c r="H802" s="19"/>
    </row>
    <row r="803">
      <c r="D803" s="18"/>
      <c r="H803" s="19"/>
    </row>
    <row r="804">
      <c r="D804" s="18"/>
      <c r="H804" s="19"/>
    </row>
    <row r="805">
      <c r="D805" s="18"/>
      <c r="H805" s="19"/>
    </row>
    <row r="806">
      <c r="D806" s="18"/>
      <c r="H806" s="19"/>
    </row>
    <row r="807">
      <c r="D807" s="18"/>
      <c r="H807" s="19"/>
    </row>
    <row r="808">
      <c r="D808" s="18"/>
      <c r="H808" s="19"/>
    </row>
    <row r="809">
      <c r="D809" s="18"/>
      <c r="H809" s="19"/>
    </row>
    <row r="810">
      <c r="D810" s="18"/>
      <c r="H810" s="19"/>
    </row>
    <row r="811">
      <c r="D811" s="18"/>
      <c r="H811" s="19"/>
    </row>
    <row r="812">
      <c r="D812" s="18"/>
      <c r="H812" s="19"/>
    </row>
    <row r="813">
      <c r="D813" s="18"/>
      <c r="H813" s="19"/>
    </row>
    <row r="814">
      <c r="D814" s="18"/>
      <c r="H814" s="19"/>
    </row>
    <row r="815">
      <c r="D815" s="18"/>
      <c r="H815" s="19"/>
    </row>
    <row r="816">
      <c r="D816" s="18"/>
      <c r="H816" s="19"/>
    </row>
    <row r="817">
      <c r="D817" s="18"/>
      <c r="H817" s="19"/>
    </row>
    <row r="818">
      <c r="D818" s="18"/>
      <c r="H818" s="19"/>
    </row>
    <row r="819">
      <c r="D819" s="18"/>
      <c r="H819" s="19"/>
    </row>
    <row r="820">
      <c r="D820" s="18"/>
      <c r="H820" s="19"/>
    </row>
    <row r="821">
      <c r="D821" s="18"/>
      <c r="H821" s="19"/>
    </row>
    <row r="822">
      <c r="D822" s="18"/>
      <c r="H822" s="19"/>
    </row>
    <row r="823">
      <c r="D823" s="18"/>
      <c r="H823" s="19"/>
    </row>
    <row r="824">
      <c r="D824" s="18"/>
      <c r="H824" s="19"/>
    </row>
    <row r="825">
      <c r="D825" s="18"/>
      <c r="H825" s="19"/>
    </row>
    <row r="826">
      <c r="D826" s="18"/>
      <c r="H826" s="19"/>
    </row>
    <row r="827">
      <c r="D827" s="18"/>
      <c r="H827" s="19"/>
    </row>
    <row r="828">
      <c r="D828" s="18"/>
      <c r="H828" s="19"/>
    </row>
    <row r="829">
      <c r="D829" s="18"/>
      <c r="H829" s="19"/>
    </row>
    <row r="830">
      <c r="D830" s="18"/>
      <c r="H830" s="19"/>
    </row>
    <row r="831">
      <c r="D831" s="18"/>
      <c r="H831" s="19"/>
    </row>
    <row r="832">
      <c r="D832" s="18"/>
      <c r="H832" s="19"/>
    </row>
    <row r="833">
      <c r="D833" s="18"/>
      <c r="H833" s="19"/>
    </row>
    <row r="834">
      <c r="D834" s="18"/>
      <c r="H834" s="19"/>
    </row>
    <row r="835">
      <c r="D835" s="18"/>
      <c r="H835" s="19"/>
    </row>
    <row r="836">
      <c r="D836" s="18"/>
      <c r="H836" s="19"/>
    </row>
    <row r="837">
      <c r="D837" s="18"/>
      <c r="H837" s="19"/>
    </row>
    <row r="838">
      <c r="D838" s="18"/>
      <c r="H838" s="19"/>
    </row>
    <row r="839">
      <c r="D839" s="18"/>
      <c r="H839" s="19"/>
    </row>
    <row r="840">
      <c r="D840" s="18"/>
      <c r="H840" s="19"/>
    </row>
    <row r="841">
      <c r="D841" s="18"/>
      <c r="H841" s="19"/>
    </row>
    <row r="842">
      <c r="D842" s="18"/>
      <c r="H842" s="19"/>
    </row>
    <row r="843">
      <c r="D843" s="18"/>
      <c r="H843" s="19"/>
    </row>
    <row r="844">
      <c r="D844" s="18"/>
      <c r="H844" s="19"/>
    </row>
    <row r="845">
      <c r="D845" s="18"/>
      <c r="H845" s="19"/>
    </row>
    <row r="846">
      <c r="D846" s="18"/>
      <c r="H846" s="19"/>
    </row>
    <row r="847">
      <c r="D847" s="18"/>
      <c r="H847" s="19"/>
    </row>
    <row r="848">
      <c r="D848" s="18"/>
      <c r="H848" s="19"/>
    </row>
    <row r="849">
      <c r="D849" s="18"/>
      <c r="H849" s="19"/>
    </row>
    <row r="850">
      <c r="D850" s="18"/>
      <c r="H850" s="19"/>
    </row>
    <row r="851">
      <c r="D851" s="18"/>
      <c r="H851" s="19"/>
    </row>
    <row r="852">
      <c r="D852" s="18"/>
      <c r="H852" s="19"/>
    </row>
    <row r="853">
      <c r="D853" s="18"/>
      <c r="H853" s="19"/>
    </row>
    <row r="854">
      <c r="D854" s="18"/>
      <c r="H854" s="19"/>
    </row>
    <row r="855">
      <c r="D855" s="18"/>
      <c r="H855" s="19"/>
    </row>
    <row r="856">
      <c r="D856" s="18"/>
      <c r="H856" s="19"/>
    </row>
    <row r="857">
      <c r="D857" s="18"/>
      <c r="H857" s="19"/>
    </row>
    <row r="858">
      <c r="D858" s="18"/>
      <c r="H858" s="19"/>
    </row>
    <row r="859">
      <c r="D859" s="18"/>
      <c r="H859" s="19"/>
    </row>
    <row r="860">
      <c r="D860" s="18"/>
      <c r="H860" s="19"/>
    </row>
    <row r="861">
      <c r="D861" s="18"/>
      <c r="H861" s="19"/>
    </row>
    <row r="862">
      <c r="D862" s="18"/>
      <c r="H862" s="19"/>
    </row>
    <row r="863">
      <c r="D863" s="18"/>
      <c r="H863" s="19"/>
    </row>
    <row r="864">
      <c r="D864" s="18"/>
      <c r="H864" s="19"/>
    </row>
    <row r="865">
      <c r="D865" s="18"/>
      <c r="H865" s="19"/>
    </row>
    <row r="866">
      <c r="D866" s="18"/>
      <c r="H866" s="19"/>
    </row>
    <row r="867">
      <c r="D867" s="18"/>
      <c r="H867" s="19"/>
    </row>
    <row r="868">
      <c r="D868" s="18"/>
      <c r="H868" s="19"/>
    </row>
    <row r="869">
      <c r="D869" s="18"/>
      <c r="H869" s="19"/>
    </row>
    <row r="870">
      <c r="D870" s="18"/>
      <c r="H870" s="19"/>
    </row>
    <row r="871">
      <c r="D871" s="18"/>
      <c r="H871" s="19"/>
    </row>
    <row r="872">
      <c r="D872" s="18"/>
      <c r="H872" s="19"/>
    </row>
    <row r="873">
      <c r="D873" s="18"/>
      <c r="H873" s="19"/>
    </row>
    <row r="874">
      <c r="D874" s="18"/>
      <c r="H874" s="19"/>
    </row>
    <row r="875">
      <c r="D875" s="18"/>
      <c r="H875" s="19"/>
    </row>
    <row r="876">
      <c r="D876" s="18"/>
      <c r="H876" s="19"/>
    </row>
    <row r="877">
      <c r="D877" s="18"/>
      <c r="H877" s="19"/>
    </row>
    <row r="878">
      <c r="D878" s="18"/>
      <c r="H878" s="19"/>
    </row>
    <row r="879">
      <c r="D879" s="18"/>
      <c r="H879" s="19"/>
    </row>
    <row r="880">
      <c r="D880" s="18"/>
      <c r="H880" s="19"/>
    </row>
    <row r="881">
      <c r="D881" s="18"/>
      <c r="H881" s="19"/>
    </row>
    <row r="882">
      <c r="D882" s="18"/>
      <c r="H882" s="19"/>
    </row>
    <row r="883">
      <c r="D883" s="18"/>
      <c r="H883" s="19"/>
    </row>
    <row r="884">
      <c r="D884" s="18"/>
      <c r="H884" s="19"/>
    </row>
    <row r="885">
      <c r="D885" s="18"/>
      <c r="H885" s="19"/>
    </row>
    <row r="886">
      <c r="D886" s="18"/>
      <c r="H886" s="19"/>
    </row>
    <row r="887">
      <c r="D887" s="18"/>
      <c r="H887" s="19"/>
    </row>
    <row r="888">
      <c r="D888" s="18"/>
      <c r="H888" s="19"/>
    </row>
    <row r="889">
      <c r="D889" s="18"/>
      <c r="H889" s="19"/>
    </row>
    <row r="890">
      <c r="D890" s="18"/>
      <c r="H890" s="19"/>
    </row>
    <row r="891">
      <c r="D891" s="18"/>
      <c r="H891" s="19"/>
    </row>
    <row r="892">
      <c r="D892" s="18"/>
      <c r="H892" s="19"/>
    </row>
    <row r="893">
      <c r="D893" s="18"/>
      <c r="H893" s="19"/>
    </row>
    <row r="894">
      <c r="D894" s="18"/>
      <c r="H894" s="19"/>
    </row>
    <row r="895">
      <c r="D895" s="18"/>
      <c r="H895" s="19"/>
    </row>
    <row r="896">
      <c r="D896" s="18"/>
      <c r="H896" s="19"/>
    </row>
    <row r="897">
      <c r="D897" s="18"/>
      <c r="H897" s="19"/>
    </row>
    <row r="898">
      <c r="D898" s="18"/>
      <c r="H898" s="19"/>
    </row>
    <row r="899">
      <c r="D899" s="18"/>
      <c r="H899" s="19"/>
    </row>
    <row r="900">
      <c r="D900" s="18"/>
      <c r="H900" s="19"/>
    </row>
    <row r="901">
      <c r="D901" s="18"/>
      <c r="H901" s="19"/>
    </row>
    <row r="902">
      <c r="D902" s="18"/>
      <c r="H902" s="19"/>
    </row>
    <row r="903">
      <c r="D903" s="18"/>
      <c r="H903" s="19"/>
    </row>
    <row r="904">
      <c r="D904" s="18"/>
      <c r="H904" s="19"/>
    </row>
    <row r="905">
      <c r="D905" s="18"/>
      <c r="H905" s="19"/>
    </row>
    <row r="906">
      <c r="D906" s="18"/>
      <c r="H906" s="19"/>
    </row>
    <row r="907">
      <c r="D907" s="18"/>
      <c r="H907" s="19"/>
    </row>
    <row r="908">
      <c r="D908" s="18"/>
      <c r="H908" s="19"/>
    </row>
    <row r="909">
      <c r="D909" s="18"/>
      <c r="H909" s="19"/>
    </row>
    <row r="910">
      <c r="D910" s="18"/>
      <c r="H910" s="19"/>
    </row>
    <row r="911">
      <c r="D911" s="18"/>
      <c r="H911" s="19"/>
    </row>
    <row r="912">
      <c r="D912" s="18"/>
      <c r="H912" s="19"/>
    </row>
    <row r="913">
      <c r="D913" s="18"/>
      <c r="H913" s="19"/>
    </row>
    <row r="914">
      <c r="D914" s="18"/>
      <c r="H914" s="19"/>
    </row>
    <row r="915">
      <c r="D915" s="18"/>
      <c r="H915" s="19"/>
    </row>
    <row r="916">
      <c r="D916" s="18"/>
      <c r="H916" s="19"/>
    </row>
    <row r="917">
      <c r="D917" s="18"/>
      <c r="H917" s="19"/>
    </row>
    <row r="918">
      <c r="D918" s="18"/>
      <c r="H918" s="19"/>
    </row>
    <row r="919">
      <c r="D919" s="18"/>
      <c r="H919" s="19"/>
    </row>
    <row r="920">
      <c r="D920" s="18"/>
      <c r="H920" s="19"/>
    </row>
    <row r="921">
      <c r="D921" s="18"/>
      <c r="H921" s="19"/>
    </row>
    <row r="922">
      <c r="D922" s="18"/>
      <c r="H922" s="19"/>
    </row>
    <row r="923">
      <c r="D923" s="18"/>
      <c r="H923" s="19"/>
    </row>
    <row r="924">
      <c r="D924" s="18"/>
      <c r="H924" s="19"/>
    </row>
    <row r="925">
      <c r="D925" s="18"/>
      <c r="H925" s="19"/>
    </row>
    <row r="926">
      <c r="D926" s="18"/>
      <c r="H926" s="19"/>
    </row>
    <row r="927">
      <c r="D927" s="18"/>
      <c r="H927" s="19"/>
    </row>
    <row r="928">
      <c r="D928" s="18"/>
      <c r="H928" s="19"/>
    </row>
    <row r="929">
      <c r="D929" s="18"/>
      <c r="H929" s="19"/>
    </row>
    <row r="930">
      <c r="D930" s="18"/>
      <c r="H930" s="19"/>
    </row>
    <row r="931">
      <c r="D931" s="18"/>
      <c r="H931" s="19"/>
    </row>
    <row r="932">
      <c r="D932" s="18"/>
      <c r="H932" s="19"/>
    </row>
    <row r="933">
      <c r="D933" s="18"/>
      <c r="H933" s="19"/>
    </row>
    <row r="934">
      <c r="D934" s="18"/>
      <c r="H934" s="19"/>
    </row>
    <row r="935">
      <c r="D935" s="18"/>
      <c r="H935" s="19"/>
    </row>
    <row r="936">
      <c r="D936" s="18"/>
      <c r="H936" s="19"/>
    </row>
    <row r="937">
      <c r="D937" s="18"/>
      <c r="H937" s="19"/>
    </row>
    <row r="938">
      <c r="D938" s="18"/>
      <c r="H938" s="19"/>
    </row>
    <row r="939">
      <c r="D939" s="18"/>
      <c r="H939" s="19"/>
    </row>
    <row r="940">
      <c r="D940" s="18"/>
      <c r="H940" s="19"/>
    </row>
    <row r="941">
      <c r="D941" s="18"/>
      <c r="H941" s="19"/>
    </row>
    <row r="942">
      <c r="D942" s="18"/>
      <c r="H942" s="19"/>
    </row>
    <row r="943">
      <c r="D943" s="18"/>
      <c r="H943" s="19"/>
    </row>
    <row r="944">
      <c r="D944" s="18"/>
      <c r="H944" s="19"/>
    </row>
    <row r="945">
      <c r="D945" s="18"/>
      <c r="H945" s="19"/>
    </row>
    <row r="946">
      <c r="D946" s="18"/>
      <c r="H946" s="19"/>
    </row>
    <row r="947">
      <c r="D947" s="18"/>
      <c r="H947" s="19"/>
    </row>
    <row r="948">
      <c r="D948" s="18"/>
      <c r="H948" s="19"/>
    </row>
    <row r="949">
      <c r="D949" s="18"/>
      <c r="H949" s="19"/>
    </row>
    <row r="950">
      <c r="D950" s="18"/>
      <c r="H950" s="19"/>
    </row>
    <row r="951">
      <c r="D951" s="18"/>
      <c r="H951" s="19"/>
    </row>
    <row r="952">
      <c r="D952" s="18"/>
      <c r="H952" s="19"/>
    </row>
    <row r="953">
      <c r="D953" s="18"/>
      <c r="H953" s="19"/>
    </row>
    <row r="954">
      <c r="D954" s="18"/>
      <c r="H954" s="19"/>
    </row>
    <row r="955">
      <c r="D955" s="18"/>
      <c r="H955" s="19"/>
    </row>
    <row r="956">
      <c r="D956" s="18"/>
      <c r="H956" s="19"/>
    </row>
    <row r="957">
      <c r="D957" s="18"/>
      <c r="H957" s="19"/>
    </row>
    <row r="958">
      <c r="D958" s="18"/>
      <c r="H958" s="19"/>
    </row>
    <row r="959">
      <c r="D959" s="18"/>
      <c r="H959" s="19"/>
    </row>
    <row r="960">
      <c r="D960" s="18"/>
      <c r="H960" s="19"/>
    </row>
    <row r="961">
      <c r="D961" s="18"/>
      <c r="H961" s="19"/>
    </row>
    <row r="962">
      <c r="D962" s="18"/>
      <c r="H962" s="19"/>
    </row>
    <row r="963">
      <c r="D963" s="18"/>
      <c r="H963" s="19"/>
    </row>
    <row r="964">
      <c r="D964" s="18"/>
      <c r="H964" s="19"/>
    </row>
    <row r="965">
      <c r="D965" s="18"/>
      <c r="H965" s="19"/>
    </row>
    <row r="966">
      <c r="D966" s="18"/>
      <c r="H966" s="19"/>
    </row>
    <row r="967">
      <c r="D967" s="18"/>
      <c r="H967" s="19"/>
    </row>
    <row r="968">
      <c r="D968" s="18"/>
      <c r="H968" s="19"/>
    </row>
    <row r="969">
      <c r="D969" s="18"/>
      <c r="H969" s="19"/>
    </row>
    <row r="970">
      <c r="D970" s="18"/>
      <c r="H970" s="19"/>
    </row>
    <row r="971">
      <c r="D971" s="18"/>
      <c r="H971" s="19"/>
    </row>
    <row r="972">
      <c r="D972" s="18"/>
      <c r="H972" s="19"/>
    </row>
    <row r="973">
      <c r="D973" s="18"/>
      <c r="H973" s="19"/>
    </row>
    <row r="974">
      <c r="D974" s="18"/>
      <c r="H974" s="19"/>
    </row>
    <row r="975">
      <c r="D975" s="18"/>
      <c r="H975" s="19"/>
    </row>
    <row r="976">
      <c r="D976" s="18"/>
      <c r="H976" s="19"/>
    </row>
    <row r="977">
      <c r="D977" s="18"/>
      <c r="H977" s="19"/>
    </row>
    <row r="978">
      <c r="D978" s="18"/>
      <c r="H978" s="19"/>
    </row>
    <row r="979">
      <c r="D979" s="18"/>
      <c r="H979" s="19"/>
    </row>
    <row r="980">
      <c r="D980" s="18"/>
      <c r="H980" s="19"/>
    </row>
    <row r="981">
      <c r="D981" s="18"/>
      <c r="H981" s="19"/>
    </row>
    <row r="982">
      <c r="D982" s="18"/>
      <c r="H982" s="19"/>
    </row>
    <row r="983">
      <c r="D983" s="18"/>
      <c r="H983" s="19"/>
    </row>
    <row r="984">
      <c r="D984" s="18"/>
      <c r="H984" s="19"/>
    </row>
    <row r="985">
      <c r="D985" s="18"/>
      <c r="H985" s="19"/>
    </row>
    <row r="986">
      <c r="D986" s="18"/>
      <c r="H986" s="19"/>
    </row>
    <row r="987">
      <c r="D987" s="18"/>
      <c r="H987" s="19"/>
    </row>
    <row r="988">
      <c r="D988" s="18"/>
      <c r="H988" s="19"/>
    </row>
    <row r="989">
      <c r="D989" s="18"/>
      <c r="H989" s="19"/>
    </row>
    <row r="990">
      <c r="D990" s="18"/>
      <c r="H990" s="19"/>
    </row>
    <row r="991">
      <c r="D991" s="18"/>
      <c r="H991" s="19"/>
    </row>
    <row r="992">
      <c r="D992" s="18"/>
      <c r="H992" s="19"/>
    </row>
    <row r="993">
      <c r="D993" s="18"/>
      <c r="H993" s="19"/>
    </row>
    <row r="994">
      <c r="D994" s="18"/>
      <c r="H994" s="19"/>
    </row>
    <row r="995">
      <c r="D995" s="18"/>
      <c r="H995" s="19"/>
    </row>
    <row r="996">
      <c r="D996" s="18"/>
      <c r="H996" s="19"/>
    </row>
    <row r="997">
      <c r="D997" s="18"/>
      <c r="H997" s="19"/>
    </row>
    <row r="998">
      <c r="D998" s="18"/>
      <c r="H998" s="19"/>
    </row>
    <row r="999">
      <c r="D999" s="18"/>
      <c r="H999" s="19"/>
    </row>
    <row r="1000">
      <c r="D1000" s="18"/>
      <c r="H1000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>
      <c r="I7" s="23" t="s">
        <v>26</v>
      </c>
      <c r="J7" s="24"/>
      <c r="K7" s="25"/>
    </row>
    <row r="8">
      <c r="I8" s="23" t="s">
        <v>27</v>
      </c>
      <c r="J8" s="24"/>
      <c r="K8" s="25"/>
    </row>
    <row r="9"/>
    <row r="10"/>
    <row r="11"/>
    <row r="12"/>
    <row r="13"/>
    <row r="14"/>
    <row r="17"/>
    <row r="18"/>
    <row r="19"/>
    <row r="20"/>
    <row r="21"/>
    <row r="22"/>
    <row r="23">
      <c r="G23" s="26" t="s">
        <v>29</v>
      </c>
    </row>
    <row r="24">
      <c r="G24" s="27" t="s">
        <v>30</v>
      </c>
    </row>
    <row r="25"/>
    <row r="26"/>
    <row r="27"/>
    <row r="28"/>
    <row r="29"/>
    <row r="30"/>
  </sheetData>
  <mergeCells count="2">
    <mergeCell ref="I7:K7"/>
    <mergeCell ref="I8:K8"/>
  </mergeCell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75"/>
    <col customWidth="1" min="2" max="2" width="29.0"/>
    <col customWidth="1" min="3" max="3" width="18.88"/>
  </cols>
  <sheetData>
    <row r="1">
      <c r="A1" s="28" t="s">
        <v>31</v>
      </c>
      <c r="B1" s="29" t="s">
        <v>32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1"/>
      <c r="V1" s="31"/>
      <c r="W1" s="31"/>
      <c r="X1" s="31"/>
      <c r="Y1" s="31"/>
      <c r="Z1" s="31"/>
    </row>
    <row r="2">
      <c r="A2" s="32" t="s">
        <v>33</v>
      </c>
      <c r="B2" s="33">
        <f>sum('Google Ads Solution'!H:H)</f>
        <v>625835.16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>
      <c r="A3" s="32" t="s">
        <v>34</v>
      </c>
      <c r="B3" s="35">
        <f>sum('Google Ads Solution'!E:E)</f>
        <v>418914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</row>
    <row r="4">
      <c r="A4" s="32" t="s">
        <v>35</v>
      </c>
      <c r="B4" s="35">
        <f>sum('Google Ads Solution'!C:C)</f>
        <v>20927740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</row>
    <row r="5">
      <c r="A5" s="32" t="s">
        <v>36</v>
      </c>
      <c r="B5" s="33">
        <f>B2/B3</f>
        <v>1.493946633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</row>
    <row r="6">
      <c r="A6" s="32" t="s">
        <v>37</v>
      </c>
      <c r="B6" s="33">
        <f>B2/(B4/1000)</f>
        <v>29.9045745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</row>
    <row r="7">
      <c r="A7" s="32" t="s">
        <v>38</v>
      </c>
      <c r="B7" s="35">
        <f>sum('Google Ads Solution'!J:J)</f>
        <v>7763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</row>
    <row r="8">
      <c r="A8" s="32" t="s">
        <v>39</v>
      </c>
      <c r="B8" s="33">
        <f>B2/B7</f>
        <v>80.61769419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</row>
    <row r="9">
      <c r="A9" s="32" t="s">
        <v>40</v>
      </c>
      <c r="B9" s="33">
        <f>sum('Google Ads Solution'!L:L)</f>
        <v>1211548.17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</row>
    <row r="10">
      <c r="A10" s="32" t="s">
        <v>41</v>
      </c>
      <c r="B10" s="36">
        <f>B9/B2</f>
        <v>1.935890227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</row>
    <row r="11">
      <c r="A11" s="37"/>
      <c r="B11" s="35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</row>
    <row r="12">
      <c r="A12" s="37"/>
      <c r="B12" s="35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</row>
    <row r="13">
      <c r="A13" s="32" t="s">
        <v>42</v>
      </c>
      <c r="B13" s="38" t="s">
        <v>43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>
      <c r="A14" s="32" t="s">
        <v>44</v>
      </c>
      <c r="B14" s="38" t="s">
        <v>43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>
      <c r="A15" s="32" t="s">
        <v>45</v>
      </c>
      <c r="B15" s="38" t="s">
        <v>43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>
      <c r="A16" s="32" t="s">
        <v>46</v>
      </c>
      <c r="B16" s="39" t="s">
        <v>47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>
      <c r="A17" s="32" t="s">
        <v>48</v>
      </c>
      <c r="B17" s="33">
        <f>'Google Ads Monthly data'!G13</f>
        <v>159.9149819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>
      <c r="A18" s="37"/>
      <c r="B18" s="35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>
      <c r="A19" s="37"/>
      <c r="B19" s="35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>
      <c r="A20" s="32" t="s">
        <v>49</v>
      </c>
      <c r="B20" s="35" t="s">
        <v>50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</row>
    <row r="21">
      <c r="A21" s="37"/>
      <c r="B21" s="38" t="s">
        <v>51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>
      <c r="A22" s="40"/>
      <c r="B22" s="40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40"/>
      <c r="B23" s="40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41" t="s">
        <v>52</v>
      </c>
      <c r="B24" s="41" t="s">
        <v>53</v>
      </c>
      <c r="C24" s="42" t="s">
        <v>54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43" t="s">
        <v>55</v>
      </c>
      <c r="B25" s="44" t="s">
        <v>56</v>
      </c>
      <c r="C25" s="45">
        <f>SUM('Google Ads Monthly data'!D2:D1000)</f>
        <v>625835.16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43" t="s">
        <v>57</v>
      </c>
      <c r="B26" s="44" t="s">
        <v>58</v>
      </c>
      <c r="C26" s="46">
        <f>SUM('Google Ads Monthly data'!C2:C1000)</f>
        <v>418914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43" t="s">
        <v>59</v>
      </c>
      <c r="B27" s="44" t="s">
        <v>60</v>
      </c>
      <c r="C27" s="46">
        <f>SUM('Google Ads Monthly data'!B2:B1000)</f>
        <v>20927740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43" t="s">
        <v>61</v>
      </c>
      <c r="B28" s="44" t="s">
        <v>62</v>
      </c>
      <c r="C28" s="45">
        <f>SUM('Google Ads Monthly data'!D2:D1000) / SUM('Google Ads Monthly data'!C2:C1000)</f>
        <v>1.493946633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43" t="s">
        <v>63</v>
      </c>
      <c r="B29" s="44" t="s">
        <v>64</v>
      </c>
      <c r="C29" s="45">
        <f>SUM('Google Ads Monthly data'!D2:D1000) / SUM('Google Ads Monthly data'!B2:B1000) * 1000</f>
        <v>29.9045745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43" t="s">
        <v>65</v>
      </c>
      <c r="B30" s="44" t="s">
        <v>66</v>
      </c>
      <c r="C30" s="46">
        <f>SUM('Google Ads Monthly data'!E2:E1000)</f>
        <v>7763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43" t="s">
        <v>67</v>
      </c>
      <c r="B31" s="44" t="s">
        <v>68</v>
      </c>
      <c r="C31" s="45">
        <f>SUM('Google Ads Monthly data'!D2:D1000) / SUM('Google Ads Monthly data'!E2:E1000)</f>
        <v>80.61769419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43" t="s">
        <v>69</v>
      </c>
      <c r="B32" s="44" t="s">
        <v>70</v>
      </c>
      <c r="C32" s="45">
        <f>SUM('Google Ads Monthly data'!F2:F1000)</f>
        <v>1211548.17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43" t="s">
        <v>71</v>
      </c>
      <c r="B33" s="44" t="s">
        <v>72</v>
      </c>
      <c r="C33" s="46">
        <f>SUM('Google Ads Monthly data'!F2:F1000) / SUM('Google Ads Monthly data'!D2:D1000)</f>
        <v>1.935890227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40"/>
      <c r="B34" s="40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40"/>
      <c r="B35" s="40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40"/>
      <c r="B36" s="40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40"/>
      <c r="B37" s="40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40"/>
      <c r="B38" s="40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40"/>
      <c r="B39" s="40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40"/>
      <c r="B40" s="40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40"/>
      <c r="B41" s="40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40"/>
      <c r="B42" s="40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40"/>
      <c r="B43" s="40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40"/>
      <c r="B44" s="40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40"/>
      <c r="B45" s="40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40"/>
      <c r="B46" s="40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40"/>
      <c r="B47" s="40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40"/>
      <c r="B48" s="40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40"/>
      <c r="B49" s="40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40"/>
      <c r="B50" s="40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40"/>
      <c r="B51" s="40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40"/>
      <c r="B52" s="40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40"/>
      <c r="B53" s="40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40"/>
      <c r="B54" s="40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40"/>
      <c r="B55" s="40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40"/>
      <c r="B56" s="40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40"/>
      <c r="B57" s="40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40"/>
      <c r="B58" s="40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40"/>
      <c r="B59" s="40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40"/>
      <c r="B60" s="40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40"/>
      <c r="B61" s="40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40"/>
      <c r="B62" s="40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40"/>
      <c r="B63" s="40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40"/>
      <c r="B64" s="40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40"/>
      <c r="B65" s="40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40"/>
      <c r="B66" s="40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40"/>
      <c r="B67" s="40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40"/>
      <c r="B68" s="40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40"/>
      <c r="B69" s="40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40"/>
      <c r="B70" s="40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40"/>
      <c r="B71" s="40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40"/>
      <c r="B72" s="40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40"/>
      <c r="B73" s="40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40"/>
      <c r="B74" s="40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40"/>
      <c r="B75" s="40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40"/>
      <c r="B76" s="40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40"/>
      <c r="B77" s="40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40"/>
      <c r="B78" s="40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40"/>
      <c r="B79" s="40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40"/>
      <c r="B80" s="40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40"/>
      <c r="B81" s="40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40"/>
      <c r="B82" s="40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40"/>
      <c r="B83" s="40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40"/>
      <c r="B84" s="40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40"/>
      <c r="B85" s="40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40"/>
      <c r="B86" s="40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40"/>
      <c r="B87" s="40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40"/>
      <c r="B88" s="40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40"/>
      <c r="B89" s="40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40"/>
      <c r="B90" s="40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40"/>
      <c r="B91" s="40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40"/>
      <c r="B92" s="40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40"/>
      <c r="B93" s="40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40"/>
      <c r="B94" s="40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40"/>
      <c r="B95" s="40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40"/>
      <c r="B96" s="40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40"/>
      <c r="B97" s="40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40"/>
      <c r="B98" s="40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40"/>
      <c r="B99" s="40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40"/>
      <c r="B100" s="40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40"/>
      <c r="B101" s="40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40"/>
      <c r="B102" s="40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40"/>
      <c r="B103" s="40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40"/>
      <c r="B104" s="40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40"/>
      <c r="B105" s="40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40"/>
      <c r="B106" s="40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40"/>
      <c r="B107" s="40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40"/>
      <c r="B108" s="40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40"/>
      <c r="B109" s="40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40"/>
      <c r="B110" s="40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40"/>
      <c r="B111" s="40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40"/>
      <c r="B112" s="40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40"/>
      <c r="B113" s="40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40"/>
      <c r="B114" s="40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40"/>
      <c r="B115" s="40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40"/>
      <c r="B116" s="40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40"/>
      <c r="B117" s="40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40"/>
      <c r="B118" s="40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40"/>
      <c r="B119" s="40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40"/>
      <c r="B120" s="40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40"/>
      <c r="B121" s="40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40"/>
      <c r="B122" s="40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40"/>
      <c r="B123" s="40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40"/>
      <c r="B124" s="40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40"/>
      <c r="B125" s="40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40"/>
      <c r="B126" s="40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40"/>
      <c r="B127" s="40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40"/>
      <c r="B128" s="40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40"/>
      <c r="B129" s="40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40"/>
      <c r="B130" s="40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40"/>
      <c r="B131" s="40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40"/>
      <c r="B132" s="40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40"/>
      <c r="B133" s="40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40"/>
      <c r="B134" s="40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40"/>
      <c r="B135" s="40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40"/>
      <c r="B136" s="40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40"/>
      <c r="B137" s="40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40"/>
      <c r="B138" s="40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40"/>
      <c r="B139" s="40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40"/>
      <c r="B140" s="40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40"/>
      <c r="B141" s="40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40"/>
      <c r="B142" s="40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40"/>
      <c r="B143" s="40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40"/>
      <c r="B144" s="40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40"/>
      <c r="B145" s="40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40"/>
      <c r="B146" s="40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40"/>
      <c r="B147" s="40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40"/>
      <c r="B148" s="40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40"/>
      <c r="B149" s="40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40"/>
      <c r="B150" s="40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40"/>
      <c r="B151" s="40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40"/>
      <c r="B152" s="40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40"/>
      <c r="B153" s="40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40"/>
      <c r="B154" s="40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40"/>
      <c r="B155" s="40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40"/>
      <c r="B156" s="40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40"/>
      <c r="B157" s="40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40"/>
      <c r="B158" s="40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40"/>
      <c r="B159" s="40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40"/>
      <c r="B160" s="40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40"/>
      <c r="B161" s="40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40"/>
      <c r="B162" s="40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40"/>
      <c r="B163" s="40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40"/>
      <c r="B164" s="40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40"/>
      <c r="B165" s="40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40"/>
      <c r="B166" s="40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40"/>
      <c r="B167" s="40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40"/>
      <c r="B168" s="40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40"/>
      <c r="B169" s="40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40"/>
      <c r="B170" s="40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40"/>
      <c r="B171" s="40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40"/>
      <c r="B172" s="40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40"/>
      <c r="B173" s="40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40"/>
      <c r="B174" s="40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40"/>
      <c r="B175" s="40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40"/>
      <c r="B176" s="40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40"/>
      <c r="B177" s="40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40"/>
      <c r="B178" s="40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40"/>
      <c r="B179" s="40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40"/>
      <c r="B180" s="40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40"/>
      <c r="B181" s="40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40"/>
      <c r="B182" s="40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40"/>
      <c r="B183" s="40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40"/>
      <c r="B184" s="40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40"/>
      <c r="B185" s="40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40"/>
      <c r="B186" s="40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40"/>
      <c r="B187" s="40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40"/>
      <c r="B188" s="40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40"/>
      <c r="B189" s="40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40"/>
      <c r="B190" s="40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40"/>
      <c r="B191" s="40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40"/>
      <c r="B192" s="40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40"/>
      <c r="B193" s="40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40"/>
      <c r="B194" s="40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40"/>
      <c r="B195" s="40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40"/>
      <c r="B196" s="40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40"/>
      <c r="B197" s="40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40"/>
      <c r="B198" s="40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40"/>
      <c r="B199" s="40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40"/>
      <c r="B200" s="40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40"/>
      <c r="B201" s="40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40"/>
      <c r="B202" s="40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40"/>
      <c r="B203" s="40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40"/>
      <c r="B204" s="40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40"/>
      <c r="B205" s="40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40"/>
      <c r="B206" s="40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40"/>
      <c r="B207" s="40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40"/>
      <c r="B208" s="40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40"/>
      <c r="B209" s="40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40"/>
      <c r="B210" s="40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40"/>
      <c r="B211" s="40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40"/>
      <c r="B212" s="40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40"/>
      <c r="B213" s="40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40"/>
      <c r="B214" s="40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40"/>
      <c r="B215" s="40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40"/>
      <c r="B216" s="40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40"/>
      <c r="B217" s="40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40"/>
      <c r="B218" s="40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40"/>
      <c r="B219" s="40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40"/>
      <c r="B220" s="40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40"/>
      <c r="B221" s="40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40"/>
      <c r="B222" s="40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40"/>
      <c r="B223" s="40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40"/>
      <c r="B224" s="40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40"/>
      <c r="B225" s="40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40"/>
      <c r="B226" s="40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40"/>
      <c r="B227" s="40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40"/>
      <c r="B228" s="40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40"/>
      <c r="B229" s="40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40"/>
      <c r="B230" s="40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40"/>
      <c r="B231" s="40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40"/>
      <c r="B232" s="40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40"/>
      <c r="B233" s="40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40"/>
      <c r="B234" s="40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40"/>
      <c r="B235" s="40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40"/>
      <c r="B236" s="40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40"/>
      <c r="B237" s="40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40"/>
      <c r="B238" s="40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40"/>
      <c r="B239" s="40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40"/>
      <c r="B240" s="40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40"/>
      <c r="B241" s="40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40"/>
      <c r="B242" s="40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40"/>
      <c r="B243" s="40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40"/>
      <c r="B244" s="40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40"/>
      <c r="B245" s="40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40"/>
      <c r="B246" s="40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40"/>
      <c r="B247" s="40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40"/>
      <c r="B248" s="40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40"/>
      <c r="B249" s="40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40"/>
      <c r="B250" s="40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40"/>
      <c r="B251" s="40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40"/>
      <c r="B252" s="40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40"/>
      <c r="B253" s="40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40"/>
      <c r="B254" s="40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40"/>
      <c r="B255" s="40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40"/>
      <c r="B256" s="40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40"/>
      <c r="B257" s="40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40"/>
      <c r="B258" s="40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40"/>
      <c r="B259" s="40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40"/>
      <c r="B260" s="40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40"/>
      <c r="B261" s="40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40"/>
      <c r="B262" s="40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40"/>
      <c r="B263" s="40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40"/>
      <c r="B264" s="40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40"/>
      <c r="B265" s="40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40"/>
      <c r="B266" s="40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40"/>
      <c r="B267" s="40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40"/>
      <c r="B268" s="40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40"/>
      <c r="B269" s="40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40"/>
      <c r="B270" s="40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40"/>
      <c r="B271" s="40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40"/>
      <c r="B272" s="40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40"/>
      <c r="B273" s="40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40"/>
      <c r="B274" s="40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40"/>
      <c r="B275" s="40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40"/>
      <c r="B276" s="40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40"/>
      <c r="B277" s="40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40"/>
      <c r="B278" s="40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40"/>
      <c r="B279" s="40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40"/>
      <c r="B280" s="40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40"/>
      <c r="B281" s="40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40"/>
      <c r="B282" s="40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40"/>
      <c r="B283" s="40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40"/>
      <c r="B284" s="40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40"/>
      <c r="B285" s="40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40"/>
      <c r="B286" s="40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40"/>
      <c r="B287" s="40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40"/>
      <c r="B288" s="40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40"/>
      <c r="B289" s="40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40"/>
      <c r="B290" s="40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40"/>
      <c r="B291" s="40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40"/>
      <c r="B292" s="40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40"/>
      <c r="B293" s="40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40"/>
      <c r="B294" s="40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40"/>
      <c r="B295" s="40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40"/>
      <c r="B296" s="40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40"/>
      <c r="B297" s="40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40"/>
      <c r="B298" s="40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40"/>
      <c r="B299" s="40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40"/>
      <c r="B300" s="40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40"/>
      <c r="B301" s="40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40"/>
      <c r="B302" s="40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40"/>
      <c r="B303" s="40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40"/>
      <c r="B304" s="40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40"/>
      <c r="B305" s="40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40"/>
      <c r="B306" s="40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40"/>
      <c r="B307" s="40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40"/>
      <c r="B308" s="40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40"/>
      <c r="B309" s="40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40"/>
      <c r="B310" s="40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40"/>
      <c r="B311" s="40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40"/>
      <c r="B312" s="40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40"/>
      <c r="B313" s="40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40"/>
      <c r="B314" s="40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40"/>
      <c r="B315" s="40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40"/>
      <c r="B316" s="40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40"/>
      <c r="B317" s="40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40"/>
      <c r="B318" s="40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40"/>
      <c r="B319" s="40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40"/>
      <c r="B320" s="40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40"/>
      <c r="B321" s="40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40"/>
      <c r="B322" s="40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40"/>
      <c r="B323" s="40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40"/>
      <c r="B324" s="40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40"/>
      <c r="B325" s="40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40"/>
      <c r="B326" s="40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40"/>
      <c r="B327" s="40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40"/>
      <c r="B328" s="40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40"/>
      <c r="B329" s="40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40"/>
      <c r="B330" s="40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40"/>
      <c r="B331" s="40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40"/>
      <c r="B332" s="40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40"/>
      <c r="B333" s="40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40"/>
      <c r="B334" s="40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40"/>
      <c r="B335" s="40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40"/>
      <c r="B336" s="40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40"/>
      <c r="B337" s="40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40"/>
      <c r="B338" s="40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40"/>
      <c r="B339" s="40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40"/>
      <c r="B340" s="40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40"/>
      <c r="B341" s="40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40"/>
      <c r="B342" s="40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40"/>
      <c r="B343" s="40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40"/>
      <c r="B344" s="40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40"/>
      <c r="B345" s="40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40"/>
      <c r="B346" s="40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40"/>
      <c r="B347" s="40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40"/>
      <c r="B348" s="40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40"/>
      <c r="B349" s="40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40"/>
      <c r="B350" s="40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40"/>
      <c r="B351" s="40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40"/>
      <c r="B352" s="40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40"/>
      <c r="B353" s="40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40"/>
      <c r="B354" s="40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40"/>
      <c r="B355" s="40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40"/>
      <c r="B356" s="40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40"/>
      <c r="B357" s="40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40"/>
      <c r="B358" s="40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40"/>
      <c r="B359" s="40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40"/>
      <c r="B360" s="40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40"/>
      <c r="B361" s="40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40"/>
      <c r="B362" s="40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40"/>
      <c r="B363" s="40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40"/>
      <c r="B364" s="40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40"/>
      <c r="B365" s="40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40"/>
      <c r="B366" s="40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40"/>
      <c r="B367" s="40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40"/>
      <c r="B368" s="40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40"/>
      <c r="B369" s="40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40"/>
      <c r="B370" s="40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40"/>
      <c r="B371" s="40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40"/>
      <c r="B372" s="40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40"/>
      <c r="B373" s="40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40"/>
      <c r="B374" s="40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40"/>
      <c r="B375" s="40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40"/>
      <c r="B376" s="40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40"/>
      <c r="B377" s="40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40"/>
      <c r="B378" s="40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40"/>
      <c r="B379" s="40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40"/>
      <c r="B380" s="40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40"/>
      <c r="B381" s="40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40"/>
      <c r="B382" s="40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40"/>
      <c r="B383" s="40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40"/>
      <c r="B384" s="40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40"/>
      <c r="B385" s="40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40"/>
      <c r="B386" s="40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40"/>
      <c r="B387" s="40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40"/>
      <c r="B388" s="40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40"/>
      <c r="B389" s="40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40"/>
      <c r="B390" s="40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40"/>
      <c r="B391" s="40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40"/>
      <c r="B392" s="40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40"/>
      <c r="B393" s="40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40"/>
      <c r="B394" s="40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40"/>
      <c r="B395" s="40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40"/>
      <c r="B396" s="40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40"/>
      <c r="B397" s="40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40"/>
      <c r="B398" s="40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40"/>
      <c r="B399" s="40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40"/>
      <c r="B400" s="40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40"/>
      <c r="B401" s="40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40"/>
      <c r="B402" s="40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40"/>
      <c r="B403" s="40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40"/>
      <c r="B404" s="40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40"/>
      <c r="B405" s="40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40"/>
      <c r="B406" s="40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40"/>
      <c r="B407" s="40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40"/>
      <c r="B408" s="40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40"/>
      <c r="B409" s="40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40"/>
      <c r="B410" s="40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40"/>
      <c r="B411" s="40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40"/>
      <c r="B412" s="40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40"/>
      <c r="B413" s="40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40"/>
      <c r="B414" s="40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40"/>
      <c r="B415" s="40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40"/>
      <c r="B416" s="40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40"/>
      <c r="B417" s="40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40"/>
      <c r="B418" s="40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40"/>
      <c r="B419" s="40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40"/>
      <c r="B420" s="40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40"/>
      <c r="B421" s="40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40"/>
      <c r="B422" s="40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40"/>
      <c r="B423" s="40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40"/>
      <c r="B424" s="40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40"/>
      <c r="B425" s="40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40"/>
      <c r="B426" s="40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40"/>
      <c r="B427" s="40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40"/>
      <c r="B428" s="40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40"/>
      <c r="B429" s="40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40"/>
      <c r="B430" s="40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40"/>
      <c r="B431" s="40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40"/>
      <c r="B432" s="40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40"/>
      <c r="B433" s="40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40"/>
      <c r="B434" s="40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40"/>
      <c r="B435" s="40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40"/>
      <c r="B436" s="40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40"/>
      <c r="B437" s="40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40"/>
      <c r="B438" s="40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40"/>
      <c r="B439" s="40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40"/>
      <c r="B440" s="40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40"/>
      <c r="B441" s="40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40"/>
      <c r="B442" s="40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40"/>
      <c r="B443" s="40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40"/>
      <c r="B444" s="40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40"/>
      <c r="B445" s="40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40"/>
      <c r="B446" s="40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40"/>
      <c r="B447" s="40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40"/>
      <c r="B448" s="40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40"/>
      <c r="B449" s="40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40"/>
      <c r="B450" s="40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40"/>
      <c r="B451" s="40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40"/>
      <c r="B452" s="40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40"/>
      <c r="B453" s="40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40"/>
      <c r="B454" s="40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40"/>
      <c r="B455" s="40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40"/>
      <c r="B456" s="40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40"/>
      <c r="B457" s="40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40"/>
      <c r="B458" s="40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40"/>
      <c r="B459" s="40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40"/>
      <c r="B460" s="40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40"/>
      <c r="B461" s="40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40"/>
      <c r="B462" s="40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40"/>
      <c r="B463" s="40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40"/>
      <c r="B464" s="40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40"/>
      <c r="B465" s="40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40"/>
      <c r="B466" s="40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40"/>
      <c r="B467" s="40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40"/>
      <c r="B468" s="40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40"/>
      <c r="B469" s="40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40"/>
      <c r="B470" s="40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40"/>
      <c r="B471" s="40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40"/>
      <c r="B472" s="40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40"/>
      <c r="B473" s="40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40"/>
      <c r="B474" s="40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40"/>
      <c r="B475" s="40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40"/>
      <c r="B476" s="40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40"/>
      <c r="B477" s="40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40"/>
      <c r="B478" s="40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40"/>
      <c r="B479" s="40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40"/>
      <c r="B480" s="40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40"/>
      <c r="B481" s="40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40"/>
      <c r="B482" s="40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40"/>
      <c r="B483" s="40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40"/>
      <c r="B484" s="40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40"/>
      <c r="B485" s="40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40"/>
      <c r="B486" s="40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40"/>
      <c r="B487" s="40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40"/>
      <c r="B488" s="40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40"/>
      <c r="B489" s="40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40"/>
      <c r="B490" s="40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40"/>
      <c r="B491" s="40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40"/>
      <c r="B492" s="40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40"/>
      <c r="B493" s="40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40"/>
      <c r="B494" s="40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40"/>
      <c r="B495" s="40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40"/>
      <c r="B496" s="40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40"/>
      <c r="B497" s="40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40"/>
      <c r="B498" s="40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40"/>
      <c r="B499" s="40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40"/>
      <c r="B500" s="40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40"/>
      <c r="B501" s="40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40"/>
      <c r="B502" s="40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40"/>
      <c r="B503" s="40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40"/>
      <c r="B504" s="40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40"/>
      <c r="B505" s="40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40"/>
      <c r="B506" s="40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40"/>
      <c r="B507" s="40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40"/>
      <c r="B508" s="40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40"/>
      <c r="B509" s="40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40"/>
      <c r="B510" s="40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40"/>
      <c r="B511" s="40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40"/>
      <c r="B512" s="40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40"/>
      <c r="B513" s="40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40"/>
      <c r="B514" s="40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40"/>
      <c r="B515" s="40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40"/>
      <c r="B516" s="40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40"/>
      <c r="B517" s="40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40"/>
      <c r="B518" s="40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40"/>
      <c r="B519" s="40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40"/>
      <c r="B520" s="40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40"/>
      <c r="B521" s="40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40"/>
      <c r="B522" s="40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40"/>
      <c r="B523" s="40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40"/>
      <c r="B524" s="40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40"/>
      <c r="B525" s="40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40"/>
      <c r="B526" s="40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40"/>
      <c r="B527" s="40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40"/>
      <c r="B528" s="40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40"/>
      <c r="B529" s="40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40"/>
      <c r="B530" s="40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40"/>
      <c r="B531" s="40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40"/>
      <c r="B532" s="40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40"/>
      <c r="B533" s="40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40"/>
      <c r="B534" s="40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40"/>
      <c r="B535" s="40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40"/>
      <c r="B536" s="40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40"/>
      <c r="B537" s="40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40"/>
      <c r="B538" s="40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40"/>
      <c r="B539" s="40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40"/>
      <c r="B540" s="40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40"/>
      <c r="B541" s="40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40"/>
      <c r="B542" s="40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40"/>
      <c r="B543" s="40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40"/>
      <c r="B544" s="40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40"/>
      <c r="B545" s="40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40"/>
      <c r="B546" s="40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40"/>
      <c r="B547" s="40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40"/>
      <c r="B548" s="40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40"/>
      <c r="B549" s="40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40"/>
      <c r="B550" s="40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40"/>
      <c r="B551" s="40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40"/>
      <c r="B552" s="40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40"/>
      <c r="B553" s="40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40"/>
      <c r="B554" s="40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40"/>
      <c r="B555" s="40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40"/>
      <c r="B556" s="40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40"/>
      <c r="B557" s="40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40"/>
      <c r="B558" s="40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40"/>
      <c r="B559" s="40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40"/>
      <c r="B560" s="40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40"/>
      <c r="B561" s="40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40"/>
      <c r="B562" s="40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40"/>
      <c r="B563" s="40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40"/>
      <c r="B564" s="40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40"/>
      <c r="B565" s="40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40"/>
      <c r="B566" s="40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40"/>
      <c r="B567" s="40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40"/>
      <c r="B568" s="40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40"/>
      <c r="B569" s="40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40"/>
      <c r="B570" s="40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40"/>
      <c r="B571" s="40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40"/>
      <c r="B572" s="40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40"/>
      <c r="B573" s="40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40"/>
      <c r="B574" s="40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40"/>
      <c r="B575" s="40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40"/>
      <c r="B576" s="40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40"/>
      <c r="B577" s="40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40"/>
      <c r="B578" s="40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40"/>
      <c r="B579" s="40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40"/>
      <c r="B580" s="40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40"/>
      <c r="B581" s="40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40"/>
      <c r="B582" s="40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40"/>
      <c r="B583" s="40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40"/>
      <c r="B584" s="40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40"/>
      <c r="B585" s="40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40"/>
      <c r="B586" s="40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40"/>
      <c r="B587" s="40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40"/>
      <c r="B588" s="40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40"/>
      <c r="B589" s="40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40"/>
      <c r="B590" s="40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40"/>
      <c r="B591" s="40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40"/>
      <c r="B592" s="40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40"/>
      <c r="B593" s="40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40"/>
      <c r="B594" s="40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40"/>
      <c r="B595" s="40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40"/>
      <c r="B596" s="40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40"/>
      <c r="B597" s="40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40"/>
      <c r="B598" s="40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40"/>
      <c r="B599" s="40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40"/>
      <c r="B600" s="40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40"/>
      <c r="B601" s="40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40"/>
      <c r="B602" s="40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40"/>
      <c r="B603" s="40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40"/>
      <c r="B604" s="40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40"/>
      <c r="B605" s="40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40"/>
      <c r="B606" s="40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40"/>
      <c r="B607" s="40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40"/>
      <c r="B608" s="40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40"/>
      <c r="B609" s="40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40"/>
      <c r="B610" s="40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40"/>
      <c r="B611" s="40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40"/>
      <c r="B612" s="40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40"/>
      <c r="B613" s="40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40"/>
      <c r="B614" s="40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40"/>
      <c r="B615" s="40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40"/>
      <c r="B616" s="40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40"/>
      <c r="B617" s="40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40"/>
      <c r="B618" s="40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40"/>
      <c r="B619" s="40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40"/>
      <c r="B620" s="40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40"/>
      <c r="B621" s="40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40"/>
      <c r="B622" s="40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40"/>
      <c r="B623" s="40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40"/>
      <c r="B624" s="40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40"/>
      <c r="B625" s="40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40"/>
      <c r="B626" s="40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40"/>
      <c r="B627" s="40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40"/>
      <c r="B628" s="40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40"/>
      <c r="B629" s="40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40"/>
      <c r="B630" s="40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40"/>
      <c r="B631" s="40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40"/>
      <c r="B632" s="40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40"/>
      <c r="B633" s="40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40"/>
      <c r="B634" s="40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40"/>
      <c r="B635" s="40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40"/>
      <c r="B636" s="40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40"/>
      <c r="B637" s="40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40"/>
      <c r="B638" s="40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40"/>
      <c r="B639" s="40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40"/>
      <c r="B640" s="40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40"/>
      <c r="B641" s="40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40"/>
      <c r="B642" s="40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40"/>
      <c r="B643" s="40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40"/>
      <c r="B644" s="40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40"/>
      <c r="B645" s="40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40"/>
      <c r="B646" s="40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40"/>
      <c r="B647" s="40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40"/>
      <c r="B648" s="40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40"/>
      <c r="B649" s="40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40"/>
      <c r="B650" s="40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40"/>
      <c r="B651" s="40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40"/>
      <c r="B652" s="40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40"/>
      <c r="B653" s="40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40"/>
      <c r="B654" s="40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40"/>
      <c r="B655" s="40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40"/>
      <c r="B656" s="40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40"/>
      <c r="B657" s="40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40"/>
      <c r="B658" s="40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40"/>
      <c r="B659" s="40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40"/>
      <c r="B660" s="40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40"/>
      <c r="B661" s="40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40"/>
      <c r="B662" s="40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40"/>
      <c r="B663" s="40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40"/>
      <c r="B664" s="40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40"/>
      <c r="B665" s="40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40"/>
      <c r="B666" s="40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40"/>
      <c r="B667" s="40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40"/>
      <c r="B668" s="40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40"/>
      <c r="B669" s="40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40"/>
      <c r="B670" s="40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40"/>
      <c r="B671" s="40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40"/>
      <c r="B672" s="40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40"/>
      <c r="B673" s="40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40"/>
      <c r="B674" s="40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40"/>
      <c r="B675" s="40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40"/>
      <c r="B676" s="40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40"/>
      <c r="B677" s="40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40"/>
      <c r="B678" s="40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40"/>
      <c r="B679" s="40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40"/>
      <c r="B680" s="40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40"/>
      <c r="B681" s="40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40"/>
      <c r="B682" s="40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40"/>
      <c r="B683" s="40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40"/>
      <c r="B684" s="40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40"/>
      <c r="B685" s="40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40"/>
      <c r="B686" s="40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40"/>
      <c r="B687" s="40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40"/>
      <c r="B688" s="40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40"/>
      <c r="B689" s="40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40"/>
      <c r="B690" s="40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40"/>
      <c r="B691" s="40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40"/>
      <c r="B692" s="40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40"/>
      <c r="B693" s="40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40"/>
      <c r="B694" s="40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40"/>
      <c r="B695" s="40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40"/>
      <c r="B696" s="40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40"/>
      <c r="B697" s="40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40"/>
      <c r="B698" s="40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40"/>
      <c r="B699" s="40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40"/>
      <c r="B700" s="40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40"/>
      <c r="B701" s="40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40"/>
      <c r="B702" s="40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40"/>
      <c r="B703" s="40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40"/>
      <c r="B704" s="40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40"/>
      <c r="B705" s="40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40"/>
      <c r="B706" s="40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40"/>
      <c r="B707" s="40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40"/>
      <c r="B708" s="40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40"/>
      <c r="B709" s="40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40"/>
      <c r="B710" s="40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40"/>
      <c r="B711" s="40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40"/>
      <c r="B712" s="40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40"/>
      <c r="B713" s="40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40"/>
      <c r="B714" s="40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40"/>
      <c r="B715" s="40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40"/>
      <c r="B716" s="40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40"/>
      <c r="B717" s="40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40"/>
      <c r="B718" s="40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40"/>
      <c r="B719" s="40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40"/>
      <c r="B720" s="40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40"/>
      <c r="B721" s="40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40"/>
      <c r="B722" s="40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40"/>
      <c r="B723" s="40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40"/>
      <c r="B724" s="40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40"/>
      <c r="B725" s="40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40"/>
      <c r="B726" s="40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40"/>
      <c r="B727" s="40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40"/>
      <c r="B728" s="40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40"/>
      <c r="B729" s="40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40"/>
      <c r="B730" s="40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40"/>
      <c r="B731" s="40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40"/>
      <c r="B732" s="40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40"/>
      <c r="B733" s="40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40"/>
      <c r="B734" s="40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40"/>
      <c r="B735" s="40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40"/>
      <c r="B736" s="40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40"/>
      <c r="B737" s="40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40"/>
      <c r="B738" s="40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40"/>
      <c r="B739" s="40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40"/>
      <c r="B740" s="40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40"/>
      <c r="B741" s="40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40"/>
      <c r="B742" s="40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40"/>
      <c r="B743" s="40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40"/>
      <c r="B744" s="40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40"/>
      <c r="B745" s="40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40"/>
      <c r="B746" s="40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40"/>
      <c r="B747" s="40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40"/>
      <c r="B748" s="40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40"/>
      <c r="B749" s="40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40"/>
      <c r="B750" s="40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40"/>
      <c r="B751" s="40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40"/>
      <c r="B752" s="40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40"/>
      <c r="B753" s="40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40"/>
      <c r="B754" s="40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40"/>
      <c r="B755" s="40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40"/>
      <c r="B756" s="40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40"/>
      <c r="B757" s="40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40"/>
      <c r="B758" s="40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40"/>
      <c r="B759" s="40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40"/>
      <c r="B760" s="40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40"/>
      <c r="B761" s="40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40"/>
      <c r="B762" s="40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40"/>
      <c r="B763" s="40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40"/>
      <c r="B764" s="40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40"/>
      <c r="B765" s="40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40"/>
      <c r="B766" s="40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40"/>
      <c r="B767" s="40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40"/>
      <c r="B768" s="40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40"/>
      <c r="B769" s="40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40"/>
      <c r="B770" s="40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40"/>
      <c r="B771" s="40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40"/>
      <c r="B772" s="40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40"/>
      <c r="B773" s="40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40"/>
      <c r="B774" s="40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40"/>
      <c r="B775" s="40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40"/>
      <c r="B776" s="40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40"/>
      <c r="B777" s="40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40"/>
      <c r="B778" s="40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40"/>
      <c r="B779" s="40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40"/>
      <c r="B780" s="40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40"/>
      <c r="B781" s="40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40"/>
      <c r="B782" s="40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40"/>
      <c r="B783" s="40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40"/>
      <c r="B784" s="40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40"/>
      <c r="B785" s="40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40"/>
      <c r="B786" s="40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40"/>
      <c r="B787" s="40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40"/>
      <c r="B788" s="40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40"/>
      <c r="B789" s="40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40"/>
      <c r="B790" s="40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40"/>
      <c r="B791" s="40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40"/>
      <c r="B792" s="40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40"/>
      <c r="B793" s="40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40"/>
      <c r="B794" s="40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40"/>
      <c r="B795" s="40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40"/>
      <c r="B796" s="40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40"/>
      <c r="B797" s="40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40"/>
      <c r="B798" s="40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40"/>
      <c r="B799" s="40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40"/>
      <c r="B800" s="40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40"/>
      <c r="B801" s="40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40"/>
      <c r="B802" s="40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40"/>
      <c r="B803" s="40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40"/>
      <c r="B804" s="40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40"/>
      <c r="B805" s="40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40"/>
      <c r="B806" s="40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40"/>
      <c r="B807" s="40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40"/>
      <c r="B808" s="40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40"/>
      <c r="B809" s="40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40"/>
      <c r="B810" s="40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40"/>
      <c r="B811" s="40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40"/>
      <c r="B812" s="40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40"/>
      <c r="B813" s="40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40"/>
      <c r="B814" s="40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40"/>
      <c r="B815" s="40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40"/>
      <c r="B816" s="40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40"/>
      <c r="B817" s="40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40"/>
      <c r="B818" s="40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40"/>
      <c r="B819" s="40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40"/>
      <c r="B820" s="40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40"/>
      <c r="B821" s="40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40"/>
      <c r="B822" s="40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40"/>
      <c r="B823" s="40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40"/>
      <c r="B824" s="40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40"/>
      <c r="B825" s="40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40"/>
      <c r="B826" s="40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40"/>
      <c r="B827" s="40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40"/>
      <c r="B828" s="40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40"/>
      <c r="B829" s="40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40"/>
      <c r="B830" s="40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40"/>
      <c r="B831" s="40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40"/>
      <c r="B832" s="40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40"/>
      <c r="B833" s="40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40"/>
      <c r="B834" s="40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40"/>
      <c r="B835" s="40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40"/>
      <c r="B836" s="40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40"/>
      <c r="B837" s="40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40"/>
      <c r="B838" s="40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40"/>
      <c r="B839" s="40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40"/>
      <c r="B840" s="40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40"/>
      <c r="B841" s="40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40"/>
      <c r="B842" s="40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40"/>
      <c r="B843" s="40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40"/>
      <c r="B844" s="40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40"/>
      <c r="B845" s="40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40"/>
      <c r="B846" s="40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40"/>
      <c r="B847" s="40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40"/>
      <c r="B848" s="40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40"/>
      <c r="B849" s="40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40"/>
      <c r="B850" s="40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40"/>
      <c r="B851" s="40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40"/>
      <c r="B852" s="40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40"/>
      <c r="B853" s="40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40"/>
      <c r="B854" s="40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40"/>
      <c r="B855" s="40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40"/>
      <c r="B856" s="40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40"/>
      <c r="B857" s="40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40"/>
      <c r="B858" s="40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40"/>
      <c r="B859" s="40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40"/>
      <c r="B860" s="40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40"/>
      <c r="B861" s="40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40"/>
      <c r="B862" s="40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40"/>
      <c r="B863" s="40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40"/>
      <c r="B864" s="40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40"/>
      <c r="B865" s="40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40"/>
      <c r="B866" s="40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40"/>
      <c r="B867" s="40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40"/>
      <c r="B868" s="40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40"/>
      <c r="B869" s="40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40"/>
      <c r="B870" s="40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40"/>
      <c r="B871" s="40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40"/>
      <c r="B872" s="40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40"/>
      <c r="B873" s="40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40"/>
      <c r="B874" s="40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40"/>
      <c r="B875" s="40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40"/>
      <c r="B876" s="40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40"/>
      <c r="B877" s="40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40"/>
      <c r="B878" s="40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40"/>
      <c r="B879" s="40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40"/>
      <c r="B880" s="40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40"/>
      <c r="B881" s="40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40"/>
      <c r="B882" s="40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40"/>
      <c r="B883" s="40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40"/>
      <c r="B884" s="40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40"/>
      <c r="B885" s="40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40"/>
      <c r="B886" s="40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40"/>
      <c r="B887" s="40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40"/>
      <c r="B888" s="40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40"/>
      <c r="B889" s="40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40"/>
      <c r="B890" s="40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40"/>
      <c r="B891" s="40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40"/>
      <c r="B892" s="40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40"/>
      <c r="B893" s="40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40"/>
      <c r="B894" s="40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40"/>
      <c r="B895" s="40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40"/>
      <c r="B896" s="40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40"/>
      <c r="B897" s="40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40"/>
      <c r="B898" s="40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40"/>
      <c r="B899" s="40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40"/>
      <c r="B900" s="40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40"/>
      <c r="B901" s="40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40"/>
      <c r="B902" s="40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40"/>
      <c r="B903" s="40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40"/>
      <c r="B904" s="40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40"/>
      <c r="B905" s="40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40"/>
      <c r="B906" s="40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40"/>
      <c r="B907" s="40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40"/>
      <c r="B908" s="40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40"/>
      <c r="B909" s="40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40"/>
      <c r="B910" s="40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40"/>
      <c r="B911" s="40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40"/>
      <c r="B912" s="40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40"/>
      <c r="B913" s="40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40"/>
      <c r="B914" s="40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40"/>
      <c r="B915" s="40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40"/>
      <c r="B916" s="40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40"/>
      <c r="B917" s="40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40"/>
      <c r="B918" s="40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40"/>
      <c r="B919" s="40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40"/>
      <c r="B920" s="40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40"/>
      <c r="B921" s="40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40"/>
      <c r="B922" s="40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40"/>
      <c r="B923" s="40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40"/>
      <c r="B924" s="40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40"/>
      <c r="B925" s="40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40"/>
      <c r="B926" s="40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40"/>
      <c r="B927" s="40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40"/>
      <c r="B928" s="40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40"/>
      <c r="B929" s="40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40"/>
      <c r="B930" s="40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40"/>
      <c r="B931" s="40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40"/>
      <c r="B932" s="40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40"/>
      <c r="B933" s="40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40"/>
      <c r="B934" s="40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40"/>
      <c r="B935" s="40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40"/>
      <c r="B936" s="40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40"/>
      <c r="B937" s="40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40"/>
      <c r="B938" s="40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40"/>
      <c r="B939" s="40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40"/>
      <c r="B940" s="40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40"/>
      <c r="B941" s="40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40"/>
      <c r="B942" s="40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40"/>
      <c r="B943" s="40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40"/>
      <c r="B944" s="40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40"/>
      <c r="B945" s="40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40"/>
      <c r="B946" s="40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40"/>
      <c r="B947" s="40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40"/>
      <c r="B948" s="40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40"/>
      <c r="B949" s="40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40"/>
      <c r="B950" s="40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40"/>
      <c r="B951" s="40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40"/>
      <c r="B952" s="40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40"/>
      <c r="B953" s="40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40"/>
      <c r="B954" s="40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40"/>
      <c r="B955" s="40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40"/>
      <c r="B956" s="40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40"/>
      <c r="B957" s="40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40"/>
      <c r="B958" s="40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40"/>
      <c r="B959" s="40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40"/>
      <c r="B960" s="40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40"/>
      <c r="B961" s="40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40"/>
      <c r="B962" s="40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40"/>
      <c r="B963" s="40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40"/>
      <c r="B964" s="40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40"/>
      <c r="B965" s="40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40"/>
      <c r="B966" s="40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40"/>
      <c r="B967" s="40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40"/>
      <c r="B968" s="40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40"/>
      <c r="B969" s="40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40"/>
      <c r="B970" s="40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40"/>
      <c r="B971" s="40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40"/>
      <c r="B972" s="40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40"/>
      <c r="B973" s="40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40"/>
      <c r="B974" s="40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40"/>
      <c r="B975" s="40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40"/>
      <c r="B976" s="40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40"/>
      <c r="B977" s="40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40"/>
      <c r="B978" s="40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40"/>
      <c r="B979" s="40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40"/>
      <c r="B980" s="40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40"/>
      <c r="B981" s="40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40"/>
      <c r="B982" s="40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40"/>
      <c r="B983" s="40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40"/>
      <c r="B984" s="40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40"/>
      <c r="B985" s="40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40"/>
      <c r="B986" s="40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40"/>
      <c r="B987" s="40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40"/>
      <c r="B988" s="40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40"/>
      <c r="B989" s="40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40"/>
      <c r="B990" s="40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40"/>
      <c r="B991" s="40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40"/>
      <c r="B992" s="40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40"/>
      <c r="B993" s="40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40"/>
      <c r="B994" s="40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40"/>
      <c r="B995" s="40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40"/>
      <c r="B996" s="40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40"/>
      <c r="B997" s="40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40"/>
      <c r="B998" s="40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40"/>
      <c r="B999" s="40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47"/>
      <c r="B1000" s="47"/>
    </row>
  </sheetData>
  <drawing r:id="rId1"/>
</worksheet>
</file>